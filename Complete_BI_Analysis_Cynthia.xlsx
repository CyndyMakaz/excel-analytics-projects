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e27bd952a31a452f/Desktop/ANALYSICS PROJECT/"/>
    </mc:Choice>
  </mc:AlternateContent>
  <xr:revisionPtr revIDLastSave="16" documentId="13_ncr:1_{4DE14527-D921-49D1-A61C-5C0959F22826}" xr6:coauthVersionLast="47" xr6:coauthVersionMax="47" xr10:uidLastSave="{8338A73F-0031-4216-A804-C5B5F7BDFE04}"/>
  <bookViews>
    <workbookView xWindow="-120" yWindow="-120" windowWidth="20730" windowHeight="11160" firstSheet="1" activeTab="3" xr2:uid="{1C7398BE-9518-4CA2-9696-63914B733AA3}"/>
  </bookViews>
  <sheets>
    <sheet name="raw_data" sheetId="6" r:id="rId1"/>
    <sheet name="cleaned_data" sheetId="1" r:id="rId2"/>
    <sheet name="KPIcalculations" sheetId="2" r:id="rId3"/>
    <sheet name="Pivot_Table" sheetId="9" r:id="rId4"/>
    <sheet name="Insight&amp;Recommendation" sheetId="8" r:id="rId5"/>
  </sheets>
  <definedNames>
    <definedName name="Slicer_Month_Name">#N/A</definedName>
    <definedName name="Slicer_Product">#N/A</definedName>
    <definedName name="Slicer_Salesperson">#N/A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B3" i="2"/>
  <c r="L2" i="1"/>
  <c r="L3" i="1"/>
  <c r="B5" i="2"/>
  <c r="B7" i="2"/>
  <c r="B8" i="2"/>
  <c r="B9" i="2" a="1"/>
  <c r="B10" i="2" a="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L5" i="1"/>
  <c r="N5" i="1" s="1"/>
  <c r="L9" i="1"/>
  <c r="N9" i="1" s="1"/>
  <c r="L21" i="1"/>
  <c r="N21" i="1" s="1"/>
  <c r="L25" i="1"/>
  <c r="N25" i="1" s="1"/>
  <c r="M9" i="1"/>
  <c r="M17" i="1"/>
  <c r="K2" i="1"/>
  <c r="K3" i="1"/>
  <c r="K4" i="1"/>
  <c r="M4" i="1" s="1"/>
  <c r="K5" i="1"/>
  <c r="M5" i="1" s="1"/>
  <c r="K6" i="1"/>
  <c r="L6" i="1" s="1"/>
  <c r="N6" i="1" s="1"/>
  <c r="K7" i="1"/>
  <c r="L7" i="1" s="1"/>
  <c r="N7" i="1" s="1"/>
  <c r="K8" i="1"/>
  <c r="L8" i="1" s="1"/>
  <c r="N8" i="1" s="1"/>
  <c r="K9" i="1"/>
  <c r="K10" i="1"/>
  <c r="L10" i="1" s="1"/>
  <c r="N10" i="1" s="1"/>
  <c r="K11" i="1"/>
  <c r="L11" i="1" s="1"/>
  <c r="N11" i="1" s="1"/>
  <c r="K12" i="1"/>
  <c r="M12" i="1" s="1"/>
  <c r="K13" i="1"/>
  <c r="M13" i="1" s="1"/>
  <c r="K14" i="1"/>
  <c r="L14" i="1" s="1"/>
  <c r="N14" i="1" s="1"/>
  <c r="K15" i="1"/>
  <c r="L15" i="1" s="1"/>
  <c r="N15" i="1" s="1"/>
  <c r="K16" i="1"/>
  <c r="L16" i="1" s="1"/>
  <c r="N16" i="1" s="1"/>
  <c r="K17" i="1"/>
  <c r="L17" i="1" s="1"/>
  <c r="N17" i="1" s="1"/>
  <c r="K18" i="1"/>
  <c r="L18" i="1" s="1"/>
  <c r="N18" i="1" s="1"/>
  <c r="K19" i="1"/>
  <c r="L19" i="1" s="1"/>
  <c r="N19" i="1" s="1"/>
  <c r="K20" i="1"/>
  <c r="M20" i="1" s="1"/>
  <c r="K21" i="1"/>
  <c r="M21" i="1" s="1"/>
  <c r="K22" i="1"/>
  <c r="L22" i="1" s="1"/>
  <c r="N22" i="1" s="1"/>
  <c r="K23" i="1"/>
  <c r="L23" i="1" s="1"/>
  <c r="N23" i="1" s="1"/>
  <c r="K24" i="1"/>
  <c r="L24" i="1" s="1"/>
  <c r="N24" i="1" s="1"/>
  <c r="K25" i="1"/>
  <c r="M25" i="1" s="1"/>
  <c r="K26" i="1"/>
  <c r="L26" i="1" s="1"/>
  <c r="N26" i="1" s="1"/>
  <c r="K27" i="1"/>
  <c r="L27" i="1" s="1"/>
  <c r="N27" i="1" s="1"/>
  <c r="K28" i="1"/>
  <c r="M28" i="1" s="1"/>
  <c r="K29" i="1"/>
  <c r="M29" i="1" s="1"/>
  <c r="K30" i="1"/>
  <c r="L30" i="1" s="1"/>
  <c r="N30" i="1" s="1"/>
  <c r="K31" i="1"/>
  <c r="L31" i="1" s="1"/>
  <c r="N31" i="1" s="1"/>
  <c r="N2" i="1" l="1"/>
  <c r="B4" i="2"/>
  <c r="N3" i="1"/>
  <c r="L29" i="1"/>
  <c r="N29" i="1" s="1"/>
  <c r="L13" i="1"/>
  <c r="N13" i="1" s="1"/>
  <c r="M24" i="1"/>
  <c r="M16" i="1"/>
  <c r="M8" i="1"/>
  <c r="L28" i="1"/>
  <c r="N28" i="1" s="1"/>
  <c r="L20" i="1"/>
  <c r="N20" i="1" s="1"/>
  <c r="L12" i="1"/>
  <c r="N12" i="1" s="1"/>
  <c r="L4" i="1"/>
  <c r="N4" i="1" s="1"/>
  <c r="M31" i="1"/>
  <c r="M27" i="1"/>
  <c r="M23" i="1"/>
  <c r="M19" i="1"/>
  <c r="M15" i="1"/>
  <c r="M11" i="1"/>
  <c r="M7" i="1"/>
  <c r="M3" i="1"/>
  <c r="M30" i="1"/>
  <c r="M26" i="1"/>
  <c r="M22" i="1"/>
  <c r="M18" i="1"/>
  <c r="M14" i="1"/>
  <c r="M10" i="1"/>
  <c r="M6" i="1"/>
  <c r="M2" i="1"/>
  <c r="B11"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<sst xmlns="http://schemas.openxmlformats.org/spreadsheetml/2006/main" count="531" uniqueCount="106">
  <si>
    <t>Date</t>
  </si>
  <si>
    <t>Region</t>
  </si>
  <si>
    <t>Product</t>
  </si>
  <si>
    <t>Category</t>
  </si>
  <si>
    <t>Salesperson</t>
  </si>
  <si>
    <t>Units</t>
  </si>
  <si>
    <t>Price</t>
  </si>
  <si>
    <t>Customer_Name</t>
  </si>
  <si>
    <t>Customer_City</t>
  </si>
  <si>
    <t>Customer_Tier</t>
  </si>
  <si>
    <t>North</t>
  </si>
  <si>
    <t>Laptop</t>
  </si>
  <si>
    <t>Electronics</t>
  </si>
  <si>
    <t>John</t>
  </si>
  <si>
    <t>Acme Corp</t>
  </si>
  <si>
    <t>New York</t>
  </si>
  <si>
    <t>Enterprise</t>
  </si>
  <si>
    <t>South</t>
  </si>
  <si>
    <t>Mouse</t>
  </si>
  <si>
    <t>Accessories</t>
  </si>
  <si>
    <t>Sarah</t>
  </si>
  <si>
    <t>Beta LLC</t>
  </si>
  <si>
    <t>Miami</t>
  </si>
  <si>
    <t>Small</t>
  </si>
  <si>
    <t>East</t>
  </si>
  <si>
    <t>Keyboard</t>
  </si>
  <si>
    <t>Mike</t>
  </si>
  <si>
    <t>Gamma Inc</t>
  </si>
  <si>
    <t>Boston</t>
  </si>
  <si>
    <t>Medium</t>
  </si>
  <si>
    <t>West</t>
  </si>
  <si>
    <t>Monitor</t>
  </si>
  <si>
    <t>Lisa</t>
  </si>
  <si>
    <t>Delta Co</t>
  </si>
  <si>
    <t>Los Angeles</t>
  </si>
  <si>
    <t>Headphones</t>
  </si>
  <si>
    <t>Tablet</t>
  </si>
  <si>
    <t>Epsilon</t>
  </si>
  <si>
    <t>Total_Sales</t>
  </si>
  <si>
    <t>Profit</t>
  </si>
  <si>
    <t>Discount_Eligible</t>
  </si>
  <si>
    <t>Commission</t>
  </si>
  <si>
    <t>Quarter</t>
  </si>
  <si>
    <t>Month_Name</t>
  </si>
  <si>
    <t>KPI CALCULATIONS</t>
  </si>
  <si>
    <t>Value</t>
  </si>
  <si>
    <t>Metric</t>
  </si>
  <si>
    <t>Formula Explanation</t>
  </si>
  <si>
    <t>Total Revenue</t>
  </si>
  <si>
    <t>Total Profit</t>
  </si>
  <si>
    <t>Total Units Sold</t>
  </si>
  <si>
    <t>Average Order Value</t>
  </si>
  <si>
    <t>Total Customers</t>
  </si>
  <si>
    <t>Top Product by Revenue</t>
  </si>
  <si>
    <t>Top Salesperson</t>
  </si>
  <si>
    <t>Best Region by Revenue</t>
  </si>
  <si>
    <t>Performance Status</t>
  </si>
  <si>
    <t>Adds up all sales amounts</t>
  </si>
  <si>
    <t>Adds up all profit amounts</t>
  </si>
  <si>
    <t>Adds up all unit quantities</t>
  </si>
  <si>
    <t>Total Revenue ÷ Number of sales</t>
  </si>
  <si>
    <t>Counts unique customer names</t>
  </si>
  <si>
    <t>Finds product with highest total sales</t>
  </si>
  <si>
    <t>Finds salesperson with highest total sales</t>
  </si>
  <si>
    <t>Finds region with highest total sales</t>
  </si>
  <si>
    <t>Checks if revenue exceeds target</t>
  </si>
  <si>
    <t>Row Labels</t>
  </si>
  <si>
    <t>Grand Total</t>
  </si>
  <si>
    <t>Column Labels</t>
  </si>
  <si>
    <t>Sum of Total_Sales</t>
  </si>
  <si>
    <t>January</t>
  </si>
  <si>
    <t>February</t>
  </si>
  <si>
    <t>March</t>
  </si>
  <si>
    <t>April</t>
  </si>
  <si>
    <t>May</t>
  </si>
  <si>
    <t>June</t>
  </si>
  <si>
    <t>July</t>
  </si>
  <si>
    <t>August</t>
  </si>
  <si>
    <t>Sum of Total_Sales2</t>
  </si>
  <si>
    <t>Sum of Commission</t>
  </si>
  <si>
    <t>Sum of Units</t>
  </si>
  <si>
    <t>Count of Customer_Name</t>
  </si>
  <si>
    <t>3. Create loyalty program for Enterprise customers</t>
  </si>
  <si>
    <t>4. Bundle Accessories with Electronics to increase order value</t>
  </si>
  <si>
    <t>TREND INSIGHTS:</t>
  </si>
  <si>
    <t>SALES INSIGHTS:</t>
  </si>
  <si>
    <t>TOP PERFORMERS:</t>
  </si>
  <si>
    <t>CUSTOMER INSIGHTS:</t>
  </si>
  <si>
    <t>RECOMMENDATIONS:</t>
  </si>
  <si>
    <t>Small business customers have highest purchase frequency</t>
  </si>
  <si>
    <t>Medium tier shows growth potential</t>
  </si>
  <si>
    <t>KEY INSIGHTS &amp; RECOMMENDATIONS</t>
  </si>
  <si>
    <t>Total Revenue: $34,090</t>
  </si>
  <si>
    <t>Total Profit: $10,227</t>
  </si>
  <si>
    <t>Average Order Value: $1,136</t>
  </si>
  <si>
    <t>Total Units Sold: 236 units</t>
  </si>
  <si>
    <t>Top Salesperson: John ($11,080)</t>
  </si>
  <si>
    <t>Best Region: North ($11,080)</t>
  </si>
  <si>
    <t>Top Product: Laptop</t>
  </si>
  <si>
    <t>Enterprise customers (40% of base) drive $15,040 in revenue</t>
  </si>
  <si>
    <t>Sales peak in March ($6,555) and January ($5,560)</t>
  </si>
  <si>
    <t>Accessories lead in unit volume (162 units)</t>
  </si>
  <si>
    <t>Electronics lead in revenue ($26,800)</t>
  </si>
  <si>
    <t>1. Increase marketing budget in North region to maximize returns</t>
  </si>
  <si>
    <t>2. Reward John with bonus or recognition program</t>
  </si>
  <si>
    <t>5. Run promotions during slower months (May, 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</si>
</sst>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0" x14ac:knownFonts="1">
    <font>
      <sz val="11"/>
      <color theme="1"/>
      <name val="Calibri"/>
      <family val="2"/>
      <scheme val="minor"/>
    </font>
    <font>
      <sz val="12"/>
      <color rgb="FF0F1115"/>
      <name val="Calibri"/>
      <family val="2"/>
      <scheme val="minor"/>
    </font>
    <font>
      <b/>
      <sz val="12"/>
      <color theme="9" tint="0.79998168889431442"/>
      <name val="Calibri"/>
      <family val="2"/>
      <scheme val="minor"/>
    </font>
    <font>
      <sz val="10"/>
      <color rgb="FF0F1115"/>
      <name val="Consolas"/>
      <family val="3"/>
    </font>
    <font>
      <sz val="11"/>
      <color theme="1"/>
      <name val="Calibri"/>
      <family val="2"/>
      <scheme val="minor"/>
    </font>
    <font>
      <b/>
      <sz val="12"/>
      <color theme="1"/>
      <name val="Calibri"/>
      <family val="2"/>
      <scheme val="minor"/>
    </font>
    <font>
      <sz val="12"/>
      <color rgb="FF0F1115"/>
      <name val="Calibri"/>
      <family val="2"/>
      <scheme val="minor"/>
    </font>
    <font>
      <sz val="12"/>
      <color theme="1"/>
      <name val="Calibri"/>
      <family val="2"/>
      <scheme val="minor"/>
    </font>
    <font>
      <sz val="12"/>
      <color theme="1"/>
      <name val="Calibri"/>
      <family val="2"/>
    </font>
    <font>
      <sz val="8"/>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9" tint="-0.49998474074526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9" fontId="4" fillId="0" borderId="0" applyFont="0" applyFill="0" applyBorder="0" applyAlignment="0" applyProtection="0"/>
  </cellStyleXfs>
  <cellXfs count="34">
    <xf numFmtId="0" fontId="0" fillId="0" borderId="0" xfId="0"/>
    <xf numFmtId="0" fontId="1" fillId="2" borderId="1" xfId="0" applyFont="1" applyFill="1" applyBorder="1" applyAlignment="1">
      <alignment horizontal="center" vertical="center"/>
    </xf>
    <xf numFmtId="14" fontId="1" fillId="2" borderId="2" xfId="0" applyNumberFormat="1" applyFont="1" applyFill="1" applyBorder="1" applyAlignment="1">
      <alignment horizontal="center" vertical="center"/>
    </xf>
    <xf numFmtId="0" fontId="1" fillId="2" borderId="3" xfId="0" applyFont="1" applyFill="1" applyBorder="1" applyAlignment="1">
      <alignment horizontal="center" vertical="center"/>
    </xf>
    <xf numFmtId="14" fontId="1" fillId="2" borderId="7"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0" xfId="0" applyFont="1" applyFill="1" applyBorder="1" applyAlignment="1">
      <alignment horizontal="center" vertical="center"/>
    </xf>
    <xf numFmtId="14" fontId="1" fillId="2" borderId="0" xfId="0" applyNumberFormat="1" applyFont="1" applyFill="1"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left" vertical="center" indent="1"/>
    </xf>
    <xf numFmtId="14" fontId="0" fillId="0" borderId="0" xfId="0" applyNumberFormat="1"/>
    <xf numFmtId="14" fontId="2" fillId="3" borderId="11" xfId="0" applyNumberFormat="1" applyFont="1" applyFill="1" applyBorder="1" applyAlignment="1">
      <alignment horizontal="center" vertical="center"/>
    </xf>
    <xf numFmtId="0" fontId="5" fillId="0" borderId="1" xfId="0" applyFont="1" applyBorder="1" applyAlignment="1">
      <alignment horizontal="center"/>
    </xf>
    <xf numFmtId="0" fontId="6" fillId="2" borderId="1" xfId="0" applyFont="1" applyFill="1" applyBorder="1" applyAlignment="1">
      <alignment horizontal="center" vertical="center"/>
    </xf>
    <xf numFmtId="0" fontId="7" fillId="0" borderId="1" xfId="0" applyFont="1" applyBorder="1" applyAlignment="1">
      <alignment horizontal="center"/>
    </xf>
    <xf numFmtId="0" fontId="1" fillId="0" borderId="1" xfId="0" applyFont="1" applyBorder="1" applyAlignment="1">
      <alignment horizontal="center" vertical="center"/>
    </xf>
    <xf numFmtId="164" fontId="2" fillId="3" borderId="12" xfId="0" applyNumberFormat="1" applyFont="1" applyFill="1" applyBorder="1" applyAlignment="1">
      <alignment horizontal="center" vertical="center"/>
    </xf>
    <xf numFmtId="164" fontId="1" fillId="2" borderId="0" xfId="0" applyNumberFormat="1" applyFont="1" applyFill="1" applyAlignment="1">
      <alignment horizontal="center" vertical="center"/>
    </xf>
    <xf numFmtId="164" fontId="0" fillId="0" borderId="0" xfId="0" applyNumberFormat="1"/>
    <xf numFmtId="164" fontId="1" fillId="0" borderId="1" xfId="0" applyNumberFormat="1" applyFont="1" applyBorder="1" applyAlignment="1">
      <alignment horizontal="center" vertical="center"/>
    </xf>
    <xf numFmtId="2" fontId="7" fillId="0" borderId="1" xfId="1" applyNumberFormat="1" applyFont="1" applyBorder="1" applyAlignment="1">
      <alignment horizont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8" fillId="4" borderId="1" xfId="0" applyFont="1" applyFill="1" applyBorder="1" applyAlignment="1">
      <alignment horizontal="left"/>
    </xf>
    <xf numFmtId="0" fontId="8" fillId="4" borderId="1" xfId="0" applyFont="1" applyFill="1" applyBorder="1" applyAlignment="1">
      <alignment horizontal="left" wrapText="1"/>
    </xf>
    <xf numFmtId="0" fontId="5" fillId="0" borderId="1" xfId="0" applyFont="1" applyBorder="1" applyAlignment="1">
      <alignment horizontal="center"/>
    </xf>
    <xf numFmtId="0" fontId="0" fillId="0" borderId="1" xfId="0" pivotButton="1" applyBorder="1" applyAlignment="1" applyProtection="1">
      <alignment horizontal="center"/>
    </xf>
    <xf numFmtId="0" fontId="0" fillId="0" borderId="1" xfId="0" applyBorder="1" applyAlignment="1" applyProtection="1">
      <alignment horizontal="center"/>
    </xf>
    <xf numFmtId="10" fontId="0" fillId="0" borderId="1" xfId="0" applyNumberFormat="1" applyBorder="1" applyAlignment="1" applyProtection="1">
      <alignment horizontal="center"/>
    </xf>
    <xf numFmtId="164" fontId="0" fillId="0" borderId="1" xfId="0" applyNumberFormat="1" applyBorder="1" applyAlignment="1" applyProtection="1">
      <alignment horizontal="center"/>
    </xf>
    <xf numFmtId="0" fontId="0" fillId="0" borderId="1" xfId="0" applyNumberFormat="1" applyBorder="1" applyAlignment="1" applyProtection="1">
      <alignment horizontal="center"/>
    </xf>
  </cellXfs>
  <cellStyles count="2">
    <cellStyle name="Normal" xfId="0" builtinId="0"/>
    <cellStyle name="Percent" xfId="1" builtinId="5"/>
  </cellStyles>
  <dxfs count="165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font>
        <b val="0"/>
        <i val="0"/>
        <strike val="0"/>
        <condense val="0"/>
        <extend val="0"/>
        <outline val="0"/>
        <shadow val="0"/>
        <u val="none"/>
        <vertAlign val="baseline"/>
        <sz val="12"/>
        <color rgb="FF0F1115"/>
        <name val="Calibri"/>
        <family val="2"/>
        <scheme val="minor"/>
      </font>
      <numFmt numFmtId="0" formatCode="General"/>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numFmt numFmtId="0" formatCode="General"/>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numFmt numFmtId="164" formatCode="&quot;$&quot;#,##0"/>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numFmt numFmtId="0" formatCode="General"/>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numFmt numFmtId="164" formatCode="&quot;$&quot;#,##0"/>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numFmt numFmtId="164" formatCode="&quot;$&quot;#,##0"/>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numFmt numFmtId="164" formatCode="&quot;$&quot;#,##0"/>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2"/>
        <color rgb="FF0F1115"/>
        <name val="Calibri"/>
        <family val="2"/>
        <scheme val="minor"/>
      </font>
      <numFmt numFmtId="19" formatCode="m/d/yyyy"/>
      <fill>
        <patternFill patternType="solid">
          <fgColor indexed="64"/>
          <bgColor rgb="FFFFFFFF"/>
        </patternFill>
      </fill>
      <alignment horizontal="center"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9" tint="0.79998168889431442"/>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F1115"/>
        <name val="Calibri"/>
        <family val="2"/>
        <scheme val="minor"/>
      </font>
      <numFmt numFmtId="19" formatCode="m/d/yyyy"/>
      <fill>
        <patternFill patternType="solid">
          <fgColor indexed="64"/>
          <bgColor rgb="FFFFFFFF"/>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F1115"/>
        <name val="Calibri"/>
        <family val="2"/>
        <scheme val="minor"/>
      </font>
      <fill>
        <patternFill patternType="solid">
          <fgColor indexed="64"/>
          <bgColor rgb="FFFFFFFF"/>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A365D1"/>
      <color rgb="FFFFFF99"/>
      <color rgb="FFFF9933"/>
      <color rgb="FFFFCC00"/>
      <color rgb="FFFF99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Total_Sales</c:v>
          </c:tx>
          <c:spPr>
            <a:solidFill>
              <a:schemeClr val="accent1"/>
            </a:solidFill>
            <a:ln>
              <a:noFill/>
            </a:ln>
            <a:effectLst/>
          </c:spPr>
          <c:invertIfNegative val="0"/>
          <c:cat>
            <c:strLit>
              <c:ptCount val="4"/>
              <c:pt idx="0">
                <c:v>John</c:v>
              </c:pt>
              <c:pt idx="1">
                <c:v>Mike</c:v>
              </c:pt>
              <c:pt idx="2">
                <c:v>Lisa</c:v>
              </c:pt>
              <c:pt idx="3">
                <c:v>Sarah</c:v>
              </c:pt>
            </c:strLit>
          </c:cat>
          <c:val>
            <c:numLit>
              <c:formatCode>General</c:formatCode>
              <c:ptCount val="4"/>
              <c:pt idx="0">
                <c:v>11080</c:v>
              </c:pt>
              <c:pt idx="1">
                <c:v>9810</c:v>
              </c:pt>
              <c:pt idx="2">
                <c:v>7590</c:v>
              </c:pt>
              <c:pt idx="3">
                <c:v>5610</c:v>
              </c:pt>
            </c:numLit>
          </c:val>
          <c:extLst>
            <c:ext xmlns:c16="http://schemas.microsoft.com/office/drawing/2014/chart" uri="{C3380CC4-5D6E-409C-BE32-E72D297353CC}">
              <c16:uniqueId val="{00000000-C0C2-4AAD-9411-641448895914}"/>
            </c:ext>
          </c:extLst>
        </c:ser>
        <c:ser>
          <c:idx val="1"/>
          <c:order val="1"/>
          <c:tx>
            <c:v>Sum of Commission</c:v>
          </c:tx>
          <c:spPr>
            <a:solidFill>
              <a:schemeClr val="accent2"/>
            </a:solidFill>
            <a:ln>
              <a:noFill/>
            </a:ln>
            <a:effectLst/>
          </c:spPr>
          <c:invertIfNegative val="0"/>
          <c:cat>
            <c:strLit>
              <c:ptCount val="4"/>
              <c:pt idx="0">
                <c:v>John</c:v>
              </c:pt>
              <c:pt idx="1">
                <c:v>Mike</c:v>
              </c:pt>
              <c:pt idx="2">
                <c:v>Lisa</c:v>
              </c:pt>
              <c:pt idx="3">
                <c:v>Sarah</c:v>
              </c:pt>
            </c:strLit>
          </c:cat>
          <c:val>
            <c:numLit>
              <c:formatCode>General</c:formatCode>
              <c:ptCount val="4"/>
              <c:pt idx="0">
                <c:v>418.40000000000003</c:v>
              </c:pt>
              <c:pt idx="1">
                <c:v>376.3</c:v>
              </c:pt>
              <c:pt idx="2">
                <c:v>288.7</c:v>
              </c:pt>
              <c:pt idx="3">
                <c:v>207.3</c:v>
              </c:pt>
            </c:numLit>
          </c:val>
          <c:extLst>
            <c:ext xmlns:c16="http://schemas.microsoft.com/office/drawing/2014/chart" uri="{C3380CC4-5D6E-409C-BE32-E72D297353CC}">
              <c16:uniqueId val="{00000001-C0C2-4AAD-9411-641448895914}"/>
            </c:ext>
          </c:extLst>
        </c:ser>
        <c:ser>
          <c:idx val="2"/>
          <c:order val="2"/>
          <c:tx>
            <c:v>Sum of Units</c:v>
          </c:tx>
          <c:spPr>
            <a:solidFill>
              <a:schemeClr val="accent3"/>
            </a:solidFill>
            <a:ln>
              <a:noFill/>
            </a:ln>
            <a:effectLst/>
          </c:spPr>
          <c:invertIfNegative val="0"/>
          <c:cat>
            <c:strLit>
              <c:ptCount val="4"/>
              <c:pt idx="0">
                <c:v>John</c:v>
              </c:pt>
              <c:pt idx="1">
                <c:v>Mike</c:v>
              </c:pt>
              <c:pt idx="2">
                <c:v>Lisa</c:v>
              </c:pt>
              <c:pt idx="3">
                <c:v>Sarah</c:v>
              </c:pt>
            </c:strLit>
          </c:cat>
          <c:val>
            <c:numLit>
              <c:formatCode>General</c:formatCode>
              <c:ptCount val="4"/>
              <c:pt idx="0">
                <c:v>83</c:v>
              </c:pt>
              <c:pt idx="1">
                <c:v>50</c:v>
              </c:pt>
              <c:pt idx="2">
                <c:v>52</c:v>
              </c:pt>
              <c:pt idx="3">
                <c:v>51</c:v>
              </c:pt>
            </c:numLit>
          </c:val>
          <c:extLst>
            <c:ext xmlns:c16="http://schemas.microsoft.com/office/drawing/2014/chart" uri="{C3380CC4-5D6E-409C-BE32-E72D297353CC}">
              <c16:uniqueId val="{00000002-C0C2-4AAD-9411-641448895914}"/>
            </c:ext>
          </c:extLst>
        </c:ser>
        <c:dLbls>
          <c:showLegendKey val="0"/>
          <c:showVal val="0"/>
          <c:showCatName val="0"/>
          <c:showSerName val="0"/>
          <c:showPercent val="0"/>
          <c:showBubbleSize val="0"/>
        </c:dLbls>
        <c:gapWidth val="219"/>
        <c:overlap val="-27"/>
        <c:axId val="810306927"/>
        <c:axId val="810320367"/>
      </c:barChart>
      <c:catAx>
        <c:axId val="810306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320367"/>
        <c:crosses val="autoZero"/>
        <c:auto val="1"/>
        <c:lblAlgn val="ctr"/>
        <c:lblOffset val="100"/>
        <c:noMultiLvlLbl val="0"/>
      </c:catAx>
      <c:valAx>
        <c:axId val="810320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306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[Complete_BI_Analysis_Cynthia.xlsx]Pivot_Table!PivotTable3</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Pivot_Table!$B$8</c:f>
              <c:strCache>
                <c:ptCount val="1"/>
                <c:pt idx="0">
                  <c:v>Sum of Total_Sales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Pivot_Table!$A$9:$A$17</c:f>
              <c:strCache>
                <c:ptCount val="8"/>
                <c:pt idx="0">
                  <c:v>January</c:v>
                </c:pt>
                <c:pt idx="1">
                  <c:v>February</c:v>
                </c:pt>
                <c:pt idx="2">
                  <c:v>March</c:v>
                </c:pt>
                <c:pt idx="3">
                  <c:v>April</c:v>
                </c:pt>
                <c:pt idx="4">
                  <c:v>May</c:v>
                </c:pt>
                <c:pt idx="5">
                  <c:v>June</c:v>
                </c:pt>
                <c:pt idx="6">
                  <c:v>July</c:v>
                </c:pt>
                <c:pt idx="7">
                  <c:v>August</c:v>
                </c:pt>
              </c:strCache>
            </c:strRef>
          </c:cat>
          <c:val>
            <c:numRef>
              <c:f>Pivot_Table!$B$9:$B$17</c:f>
              <c:numCache>
                <c:formatCode>"$"#,##0</c:formatCode>
                <c:ptCount val="8"/>
                <c:pt idx="0">
                  <c:v>5560</c:v>
                </c:pt>
                <c:pt idx="1">
                  <c:v>3975</c:v>
                </c:pt>
                <c:pt idx="2">
                  <c:v>6555</c:v>
                </c:pt>
                <c:pt idx="3">
                  <c:v>4700</c:v>
                </c:pt>
                <c:pt idx="4">
                  <c:v>3040</c:v>
                </c:pt>
                <c:pt idx="5">
                  <c:v>4825</c:v>
                </c:pt>
                <c:pt idx="6">
                  <c:v>3885</c:v>
                </c:pt>
                <c:pt idx="7">
                  <c:v>1550</c:v>
                </c:pt>
              </c:numCache>
            </c:numRef>
          </c:val>
          <c:smooth val="0"/>
          <c:extLst>
            <c:ext xmlns:c16="http://schemas.microsoft.com/office/drawing/2014/chart" uri="{C3380CC4-5D6E-409C-BE32-E72D297353CC}">
              <c16:uniqueId val="{00000000-37AB-4954-8988-224BB2D76D2D}"/>
            </c:ext>
          </c:extLst>
        </c:ser>
        <c:ser>
          <c:idx val="1"/>
          <c:order val="1"/>
          <c:tx>
            <c:strRef>
              <c:f>Pivot_Table!$C$8</c:f>
              <c:strCache>
                <c:ptCount val="1"/>
                <c:pt idx="0">
                  <c:v>Sum of Total_Sales2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Pivot_Table!$A$9:$A$17</c:f>
              <c:strCache>
                <c:ptCount val="8"/>
                <c:pt idx="0">
                  <c:v>January</c:v>
                </c:pt>
                <c:pt idx="1">
                  <c:v>February</c:v>
                </c:pt>
                <c:pt idx="2">
                  <c:v>March</c:v>
                </c:pt>
                <c:pt idx="3">
                  <c:v>April</c:v>
                </c:pt>
                <c:pt idx="4">
                  <c:v>May</c:v>
                </c:pt>
                <c:pt idx="5">
                  <c:v>June</c:v>
                </c:pt>
                <c:pt idx="6">
                  <c:v>July</c:v>
                </c:pt>
                <c:pt idx="7">
                  <c:v>August</c:v>
                </c:pt>
              </c:strCache>
            </c:strRef>
          </c:cat>
          <c:val>
            <c:numRef>
              <c:f>Pivot_Table!$C$9:$C$17</c:f>
              <c:numCache>
                <c:formatCode>0.00%</c:formatCode>
                <c:ptCount val="8"/>
                <c:pt idx="0">
                  <c:v>0.16309768260486945</c:v>
                </c:pt>
                <c:pt idx="1">
                  <c:v>0.1166031094162511</c:v>
                </c:pt>
                <c:pt idx="2">
                  <c:v>0.19228512760340274</c:v>
                </c:pt>
                <c:pt idx="3">
                  <c:v>0.13787034320915226</c:v>
                </c:pt>
                <c:pt idx="4">
                  <c:v>8.9175711352302733E-2</c:v>
                </c:pt>
                <c:pt idx="5">
                  <c:v>0.14153710765620417</c:v>
                </c:pt>
                <c:pt idx="6">
                  <c:v>0.11396303901437371</c:v>
                </c:pt>
                <c:pt idx="7">
                  <c:v>4.5467879143443822E-2</c:v>
                </c:pt>
              </c:numCache>
            </c:numRef>
          </c:val>
          <c:smooth val="0"/>
          <c:extLst>
            <c:ext xmlns:c16="http://schemas.microsoft.com/office/drawing/2014/chart" uri="{C3380CC4-5D6E-409C-BE32-E72D297353CC}">
              <c16:uniqueId val="{00000001-37AB-4954-8988-224BB2D76D2D}"/>
            </c:ext>
          </c:extLst>
        </c:ser>
        <c:dLbls>
          <c:showLegendKey val="0"/>
          <c:showVal val="0"/>
          <c:showCatName val="0"/>
          <c:showSerName val="0"/>
          <c:showPercent val="0"/>
          <c:showBubbleSize val="0"/>
        </c:dLbls>
        <c:marker val="1"/>
        <c:smooth val="0"/>
        <c:axId val="810290607"/>
        <c:axId val="810291567"/>
      </c:lineChart>
      <c:catAx>
        <c:axId val="81029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291567"/>
        <c:crosses val="autoZero"/>
        <c:auto val="1"/>
        <c:lblAlgn val="ctr"/>
        <c:lblOffset val="100"/>
        <c:noMultiLvlLbl val="0"/>
      </c:catAx>
      <c:valAx>
        <c:axId val="810291567"/>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29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Count of Customer_Name</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Lit>
              <c:ptCount val="3"/>
              <c:pt idx="0">
                <c:v>Enterprise</c:v>
              </c:pt>
              <c:pt idx="1">
                <c:v>Medium</c:v>
              </c:pt>
              <c:pt idx="2">
                <c:v>Small</c:v>
              </c:pt>
            </c:strLit>
          </c:cat>
          <c:val>
            <c:numLit>
              <c:formatCode>General</c:formatCode>
              <c:ptCount val="3"/>
              <c:pt idx="0">
                <c:v>0.4</c:v>
              </c:pt>
              <c:pt idx="1">
                <c:v>0.33333333333333331</c:v>
              </c:pt>
              <c:pt idx="2">
                <c:v>0.26666666666666666</c:v>
              </c:pt>
            </c:numLit>
          </c:val>
          <c:extLst>
            <c:ext xmlns:c16="http://schemas.microsoft.com/office/drawing/2014/chart" uri="{C3380CC4-5D6E-409C-BE32-E72D297353CC}">
              <c16:uniqueId val="{00000000-749D-4FB7-8173-C59E1B600D4C}"/>
            </c:ext>
          </c:extLst>
        </c:ser>
        <c:ser>
          <c:idx val="1"/>
          <c:order val="1"/>
          <c:tx>
            <c:v>Series2</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Lit>
              <c:ptCount val="3"/>
              <c:pt idx="0">
                <c:v>Enterprise</c:v>
              </c:pt>
              <c:pt idx="1">
                <c:v>Medium</c:v>
              </c:pt>
              <c:pt idx="2">
                <c:v>Small</c:v>
              </c:pt>
            </c:strLit>
          </c:cat>
          <c:val>
            <c:numLit>
              <c:formatCode>General</c:formatCode>
              <c:ptCount val="3"/>
              <c:pt idx="0">
                <c:v>15040</c:v>
              </c:pt>
              <c:pt idx="1">
                <c:v>13440</c:v>
              </c:pt>
              <c:pt idx="2">
                <c:v>5610</c:v>
              </c:pt>
            </c:numLit>
          </c:val>
          <c:extLst>
            <c:ext xmlns:c16="http://schemas.microsoft.com/office/drawing/2014/chart" uri="{C3380CC4-5D6E-409C-BE32-E72D297353CC}">
              <c16:uniqueId val="{00000001-749D-4FB7-8173-C59E1B600D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83970</xdr:colOff>
      <xdr:row>19</xdr:row>
      <xdr:rowOff>56320</xdr:rowOff>
    </xdr:from>
    <xdr:to>
      <xdr:col>12</xdr:col>
      <xdr:colOff>610022</xdr:colOff>
      <xdr:row>33</xdr:row>
      <xdr:rowOff>132519</xdr:rowOff>
    </xdr:to>
    <xdr:graphicFrame macro="">
      <xdr:nvGraphicFramePr>
        <xdr:cNvPr id="3" name="Chart 2">
          <a:extLst>
            <a:ext uri="{FF2B5EF4-FFF2-40B4-BE49-F238E27FC236}">
              <a16:creationId xmlns:a16="http://schemas.microsoft.com/office/drawing/2014/main" id="{6BAB51B0-7751-48CF-A8A3-E28FBAACD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171450</xdr:colOff>
      <xdr:row>8</xdr:row>
      <xdr:rowOff>171450</xdr:rowOff>
    </xdr:from>
    <xdr:to>
      <xdr:col>8</xdr:col>
      <xdr:colOff>552450</xdr:colOff>
      <xdr:row>18</xdr:row>
      <xdr:rowOff>152400</xdr:rowOff>
    </xdr:to>
    <xdr:graphicFrame macro="">
      <xdr:nvGraphicFramePr>
        <xdr:cNvPr id="4" name="Chart 3">
          <a:extLst>
            <a:ext uri="{FF2B5EF4-FFF2-40B4-BE49-F238E27FC236}">
              <a16:creationId xmlns:a16="http://schemas.microsoft.com/office/drawing/2014/main" id="{17E792FB-9868-61F7-C6DC-69BB1C36E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168793</xdr:colOff>
      <xdr:row>0</xdr:row>
      <xdr:rowOff>19051</xdr:rowOff>
    </xdr:from>
    <xdr:to>
      <xdr:col>8</xdr:col>
      <xdr:colOff>441554</xdr:colOff>
      <xdr:row>8</xdr:row>
      <xdr:rowOff>142875</xdr:rowOff>
    </xdr:to>
    <xdr:graphicFrame macro="">
      <xdr:nvGraphicFramePr>
        <xdr:cNvPr id="5" name="Chart 4">
          <a:extLst>
            <a:ext uri="{FF2B5EF4-FFF2-40B4-BE49-F238E27FC236}">
              <a16:creationId xmlns:a16="http://schemas.microsoft.com/office/drawing/2014/main" id="{C6CEC4F6-7A87-7F2C-08F9-65169512F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249287</xdr:colOff>
      <xdr:row>0</xdr:row>
      <xdr:rowOff>128716</xdr:rowOff>
    </xdr:from>
    <xdr:to>
      <xdr:col>16</xdr:col>
      <xdr:colOff>259679</xdr:colOff>
      <xdr:row>13</xdr:row>
      <xdr:rowOff>176341</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C5DF9F27-0CCF-2C4C-5016-DC29E534873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477328" y="128716"/>
              <a:ext cx="1863905" cy="239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214885</xdr:colOff>
      <xdr:row>18</xdr:row>
      <xdr:rowOff>101474</xdr:rowOff>
    </xdr:from>
    <xdr:to>
      <xdr:col>16</xdr:col>
      <xdr:colOff>225276</xdr:colOff>
      <xdr:row>31</xdr:row>
      <xdr:rowOff>149099</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8A20504B-2F41-99D3-C31A-615D4812A8C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442926" y="3345123"/>
              <a:ext cx="1863904" cy="239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429492</xdr:colOff>
      <xdr:row>0</xdr:row>
      <xdr:rowOff>85795</xdr:rowOff>
    </xdr:from>
    <xdr:to>
      <xdr:col>12</xdr:col>
      <xdr:colOff>439882</xdr:colOff>
      <xdr:row>13</xdr:row>
      <xdr:rowOff>123123</xdr:rowOff>
    </xdr:to>
    <mc:AlternateContent xmlns:mc="http://schemas.openxmlformats.org/markup-compatibility/2006">
      <mc:Choice xmlns:a14="http://schemas.microsoft.com/office/drawing/2010/main" Requires="a14">
        <xdr:graphicFrame macro="">
          <xdr:nvGraphicFramePr>
            <xdr:cNvPr id="10" name="Month_Name">
              <a:extLst>
                <a:ext uri="{FF2B5EF4-FFF2-40B4-BE49-F238E27FC236}">
                  <a16:creationId xmlns:a16="http://schemas.microsoft.com/office/drawing/2014/main" id="{6B0D6C0D-F487-7A22-EB4B-67BF815EF455}"/>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0186181" y="85795"/>
              <a:ext cx="1863904" cy="2379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31.538611689815" createdVersion="8" refreshedVersion="8" minRefreshableVersion="3" recordCount="30" xr:uid="{85345C66-57CA-4896-B3E0-AA52C067A866}">
  <cacheSource type="worksheet">
    <worksheetSource name="tblSales3"/>
  </cacheSource>
  <cacheFields count="16">
    <cacheField name="Date" numFmtId="14">
      <sharedItems containsSemiMixedTypes="0" containsNonDate="0" containsDate="1" containsString="0" minDate="2024-01-05T00:00:00" maxDate="2024-08-09T00:00:00"/>
    </cacheField>
    <cacheField name="Region" numFmtId="0">
      <sharedItems count="4">
        <s v="North"/>
        <s v="South"/>
        <s v="East"/>
        <s v="West"/>
      </sharedItems>
    </cacheField>
    <cacheField name="Product" numFmtId="0">
      <sharedItems count="6">
        <s v="Laptop"/>
        <s v="Mouse"/>
        <s v="Keyboard"/>
        <s v="Monitor"/>
        <s v="Headphones"/>
        <s v="Tablet"/>
      </sharedItems>
    </cacheField>
    <cacheField name="Category" numFmtId="0">
      <sharedItems count="2">
        <s v="Electronics"/>
        <s v="Accessories"/>
      </sharedItems>
    </cacheField>
    <cacheField name="Salesperson" numFmtId="0">
      <sharedItems count="4">
        <s v="John"/>
        <s v="Sarah"/>
        <s v="Mike"/>
        <s v="Lisa"/>
      </sharedItems>
    </cacheField>
    <cacheField name="Units" numFmtId="0">
      <sharedItems containsSemiMixedTypes="0" containsString="0" containsNumber="1" containsInteger="1" minValue="1" maxValue="30"/>
    </cacheField>
    <cacheField name="Price" numFmtId="164">
      <sharedItems containsSemiMixedTypes="0" containsString="0" containsNumber="1" containsInteger="1" minValue="25" maxValue="800"/>
    </cacheField>
    <cacheField name="Customer_Name" numFmtId="0">
      <sharedItems count="5">
        <s v="Acme Corp"/>
        <s v="Beta LLC"/>
        <s v="Gamma Inc"/>
        <s v="Delta Co"/>
        <s v="Epsilon"/>
      </sharedItems>
    </cacheField>
    <cacheField name="Customer_City" numFmtId="0">
      <sharedItems/>
    </cacheField>
    <cacheField name="Customer_Tier" numFmtId="0">
      <sharedItems count="3">
        <s v="Enterprise"/>
        <s v="Small"/>
        <s v="Medium"/>
      </sharedItems>
    </cacheField>
    <cacheField name="Total_Sales" numFmtId="164">
      <sharedItems containsSemiMixedTypes="0" containsString="0" containsNumber="1" containsInteger="1" minValue="225" maxValue="4000"/>
    </cacheField>
    <cacheField name="Profit" numFmtId="164">
      <sharedItems containsSemiMixedTypes="0" containsString="0" containsNumber="1" minValue="67.5" maxValue="1600"/>
    </cacheField>
    <cacheField name="Discount_Eligible" numFmtId="0">
      <sharedItems/>
    </cacheField>
    <cacheField name="Commission" numFmtId="164">
      <sharedItems containsSemiMixedTypes="0" containsString="0" containsNumber="1" minValue="6.75" maxValue="160"/>
    </cacheField>
    <cacheField name="Quarter" numFmtId="0">
      <sharedItems count="3">
        <s v="Q1"/>
        <s v="Q2"/>
        <s v="Q3"/>
      </sharedItems>
    </cacheField>
    <cacheField name="Month_Name" numFmtId="0">
      <sharedItems count="8">
        <s v="January"/>
        <s v="February"/>
        <s v="March"/>
        <s v="April"/>
        <s v="May"/>
        <s v="June"/>
        <s v="July"/>
        <s v="August"/>
      </sharedItems>
    </cacheField>
  </cacheFields>
  <extLst>
    <ext xmlns:x14="http://schemas.microsoft.com/office/spreadsheetml/2009/9/main" uri="{725AE2AE-9491-48be-B2B4-4EB974FC3084}">
      <x14:pivotCacheDefinition pivotCacheId="1539070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4-01-05T00:00:00"/>
    <x v="0"/>
    <x v="0"/>
    <x v="0"/>
    <x v="0"/>
    <n v="5"/>
    <n v="800"/>
    <x v="0"/>
    <s v="New York"/>
    <x v="0"/>
    <n v="4000"/>
    <n v="1600"/>
    <s v="Yes"/>
    <n v="160"/>
    <x v="0"/>
    <x v="0"/>
  </r>
  <r>
    <d v="2024-01-12T00:00:00"/>
    <x v="1"/>
    <x v="1"/>
    <x v="1"/>
    <x v="1"/>
    <n v="12"/>
    <n v="25"/>
    <x v="1"/>
    <s v="Miami"/>
    <x v="1"/>
    <n v="300"/>
    <n v="90"/>
    <s v="No"/>
    <n v="9"/>
    <x v="0"/>
    <x v="0"/>
  </r>
  <r>
    <d v="2024-01-18T00:00:00"/>
    <x v="2"/>
    <x v="2"/>
    <x v="1"/>
    <x v="2"/>
    <n v="8"/>
    <n v="45"/>
    <x v="2"/>
    <s v="Boston"/>
    <x v="2"/>
    <n v="360"/>
    <n v="108"/>
    <s v="No"/>
    <n v="10.8"/>
    <x v="0"/>
    <x v="0"/>
  </r>
  <r>
    <d v="2024-01-25T00:00:00"/>
    <x v="3"/>
    <x v="3"/>
    <x v="0"/>
    <x v="3"/>
    <n v="3"/>
    <n v="300"/>
    <x v="3"/>
    <s v="Los Angeles"/>
    <x v="0"/>
    <n v="900"/>
    <n v="360"/>
    <s v="No"/>
    <n v="36"/>
    <x v="0"/>
    <x v="0"/>
  </r>
  <r>
    <d v="2024-02-02T00:00:00"/>
    <x v="0"/>
    <x v="0"/>
    <x v="0"/>
    <x v="0"/>
    <n v="2"/>
    <n v="800"/>
    <x v="0"/>
    <s v="New York"/>
    <x v="0"/>
    <n v="1600"/>
    <n v="640"/>
    <s v="No"/>
    <n v="64"/>
    <x v="0"/>
    <x v="1"/>
  </r>
  <r>
    <d v="2024-02-09T00:00:00"/>
    <x v="1"/>
    <x v="1"/>
    <x v="1"/>
    <x v="1"/>
    <n v="15"/>
    <n v="25"/>
    <x v="1"/>
    <s v="Miami"/>
    <x v="1"/>
    <n v="375"/>
    <n v="112.5"/>
    <s v="No"/>
    <n v="11.25"/>
    <x v="0"/>
    <x v="1"/>
  </r>
  <r>
    <d v="2024-02-16T00:00:00"/>
    <x v="2"/>
    <x v="4"/>
    <x v="1"/>
    <x v="2"/>
    <n v="10"/>
    <n v="80"/>
    <x v="2"/>
    <s v="Boston"/>
    <x v="2"/>
    <n v="800"/>
    <n v="240"/>
    <s v="No"/>
    <n v="24"/>
    <x v="0"/>
    <x v="1"/>
  </r>
  <r>
    <d v="2024-02-23T00:00:00"/>
    <x v="3"/>
    <x v="3"/>
    <x v="0"/>
    <x v="3"/>
    <n v="4"/>
    <n v="300"/>
    <x v="3"/>
    <s v="Los Angeles"/>
    <x v="0"/>
    <n v="1200"/>
    <n v="480"/>
    <s v="No"/>
    <n v="48"/>
    <x v="0"/>
    <x v="1"/>
  </r>
  <r>
    <d v="2024-03-02T00:00:00"/>
    <x v="0"/>
    <x v="5"/>
    <x v="0"/>
    <x v="0"/>
    <n v="6"/>
    <n v="400"/>
    <x v="4"/>
    <s v="New York"/>
    <x v="2"/>
    <n v="2400"/>
    <n v="960"/>
    <s v="Yes"/>
    <n v="96"/>
    <x v="0"/>
    <x v="2"/>
  </r>
  <r>
    <d v="2024-03-09T00:00:00"/>
    <x v="1"/>
    <x v="2"/>
    <x v="1"/>
    <x v="1"/>
    <n v="7"/>
    <n v="45"/>
    <x v="1"/>
    <s v="Miami"/>
    <x v="1"/>
    <n v="315"/>
    <n v="94.5"/>
    <s v="No"/>
    <n v="9.4500000000000011"/>
    <x v="0"/>
    <x v="2"/>
  </r>
  <r>
    <d v="2024-03-16T00:00:00"/>
    <x v="2"/>
    <x v="0"/>
    <x v="0"/>
    <x v="2"/>
    <n v="4"/>
    <n v="800"/>
    <x v="2"/>
    <s v="Boston"/>
    <x v="2"/>
    <n v="3200"/>
    <n v="1280"/>
    <s v="Yes"/>
    <n v="128"/>
    <x v="0"/>
    <x v="2"/>
  </r>
  <r>
    <d v="2024-03-23T00:00:00"/>
    <x v="3"/>
    <x v="4"/>
    <x v="1"/>
    <x v="3"/>
    <n v="8"/>
    <n v="80"/>
    <x v="3"/>
    <s v="Los Angeles"/>
    <x v="0"/>
    <n v="640"/>
    <n v="192"/>
    <s v="No"/>
    <n v="19.200000000000003"/>
    <x v="0"/>
    <x v="2"/>
  </r>
  <r>
    <d v="2024-04-01T00:00:00"/>
    <x v="0"/>
    <x v="1"/>
    <x v="1"/>
    <x v="0"/>
    <n v="20"/>
    <n v="25"/>
    <x v="0"/>
    <s v="New York"/>
    <x v="0"/>
    <n v="500"/>
    <n v="150"/>
    <s v="No"/>
    <n v="15"/>
    <x v="1"/>
    <x v="3"/>
  </r>
  <r>
    <d v="2024-04-08T00:00:00"/>
    <x v="1"/>
    <x v="5"/>
    <x v="0"/>
    <x v="1"/>
    <n v="3"/>
    <n v="400"/>
    <x v="1"/>
    <s v="Miami"/>
    <x v="1"/>
    <n v="1200"/>
    <n v="480"/>
    <s v="No"/>
    <n v="48"/>
    <x v="1"/>
    <x v="3"/>
  </r>
  <r>
    <d v="2024-04-15T00:00:00"/>
    <x v="2"/>
    <x v="3"/>
    <x v="0"/>
    <x v="2"/>
    <n v="2"/>
    <n v="300"/>
    <x v="2"/>
    <s v="Boston"/>
    <x v="2"/>
    <n v="600"/>
    <n v="240"/>
    <s v="No"/>
    <n v="24"/>
    <x v="1"/>
    <x v="3"/>
  </r>
  <r>
    <d v="2024-04-22T00:00:00"/>
    <x v="3"/>
    <x v="0"/>
    <x v="0"/>
    <x v="3"/>
    <n v="3"/>
    <n v="800"/>
    <x v="3"/>
    <s v="Los Angeles"/>
    <x v="0"/>
    <n v="2400"/>
    <n v="960"/>
    <s v="Yes"/>
    <n v="96"/>
    <x v="1"/>
    <x v="3"/>
  </r>
  <r>
    <d v="2024-05-03T00:00:00"/>
    <x v="0"/>
    <x v="2"/>
    <x v="1"/>
    <x v="0"/>
    <n v="6"/>
    <n v="45"/>
    <x v="4"/>
    <s v="New York"/>
    <x v="2"/>
    <n v="270"/>
    <n v="81"/>
    <s v="No"/>
    <n v="8.1"/>
    <x v="1"/>
    <x v="4"/>
  </r>
  <r>
    <d v="2024-05-10T00:00:00"/>
    <x v="1"/>
    <x v="4"/>
    <x v="1"/>
    <x v="1"/>
    <n v="9"/>
    <n v="80"/>
    <x v="1"/>
    <s v="Miami"/>
    <x v="1"/>
    <n v="720"/>
    <n v="216"/>
    <s v="No"/>
    <n v="21.6"/>
    <x v="1"/>
    <x v="4"/>
  </r>
  <r>
    <d v="2024-05-17T00:00:00"/>
    <x v="2"/>
    <x v="1"/>
    <x v="1"/>
    <x v="2"/>
    <n v="18"/>
    <n v="25"/>
    <x v="2"/>
    <s v="Boston"/>
    <x v="2"/>
    <n v="450"/>
    <n v="135"/>
    <s v="No"/>
    <n v="13.5"/>
    <x v="1"/>
    <x v="4"/>
  </r>
  <r>
    <d v="2024-05-24T00:00:00"/>
    <x v="3"/>
    <x v="5"/>
    <x v="0"/>
    <x v="3"/>
    <n v="4"/>
    <n v="400"/>
    <x v="3"/>
    <s v="Los Angeles"/>
    <x v="0"/>
    <n v="1600"/>
    <n v="640"/>
    <s v="No"/>
    <n v="64"/>
    <x v="1"/>
    <x v="4"/>
  </r>
  <r>
    <d v="2024-06-02T00:00:00"/>
    <x v="0"/>
    <x v="3"/>
    <x v="0"/>
    <x v="0"/>
    <n v="2"/>
    <n v="300"/>
    <x v="0"/>
    <s v="New York"/>
    <x v="0"/>
    <n v="600"/>
    <n v="240"/>
    <s v="No"/>
    <n v="24"/>
    <x v="1"/>
    <x v="5"/>
  </r>
  <r>
    <d v="2024-06-09T00:00:00"/>
    <x v="1"/>
    <x v="0"/>
    <x v="0"/>
    <x v="1"/>
    <n v="2"/>
    <n v="800"/>
    <x v="1"/>
    <s v="Miami"/>
    <x v="1"/>
    <n v="1600"/>
    <n v="640"/>
    <s v="No"/>
    <n v="64"/>
    <x v="1"/>
    <x v="5"/>
  </r>
  <r>
    <d v="2024-06-16T00:00:00"/>
    <x v="2"/>
    <x v="5"/>
    <x v="0"/>
    <x v="2"/>
    <n v="5"/>
    <n v="400"/>
    <x v="2"/>
    <s v="Boston"/>
    <x v="2"/>
    <n v="2000"/>
    <n v="800"/>
    <s v="No"/>
    <n v="80"/>
    <x v="1"/>
    <x v="5"/>
  </r>
  <r>
    <d v="2024-06-23T00:00:00"/>
    <x v="3"/>
    <x v="1"/>
    <x v="1"/>
    <x v="3"/>
    <n v="25"/>
    <n v="25"/>
    <x v="3"/>
    <s v="Los Angeles"/>
    <x v="0"/>
    <n v="625"/>
    <n v="187.5"/>
    <s v="No"/>
    <n v="18.75"/>
    <x v="1"/>
    <x v="5"/>
  </r>
  <r>
    <d v="2024-07-01T00:00:00"/>
    <x v="0"/>
    <x v="4"/>
    <x v="1"/>
    <x v="0"/>
    <n v="12"/>
    <n v="80"/>
    <x v="4"/>
    <s v="New York"/>
    <x v="2"/>
    <n v="960"/>
    <n v="288"/>
    <s v="No"/>
    <n v="28.8"/>
    <x v="2"/>
    <x v="6"/>
  </r>
  <r>
    <d v="2024-07-08T00:00:00"/>
    <x v="1"/>
    <x v="3"/>
    <x v="0"/>
    <x v="1"/>
    <n v="1"/>
    <n v="300"/>
    <x v="1"/>
    <s v="Miami"/>
    <x v="1"/>
    <n v="300"/>
    <n v="120"/>
    <s v="No"/>
    <n v="12"/>
    <x v="2"/>
    <x v="6"/>
  </r>
  <r>
    <d v="2024-07-15T00:00:00"/>
    <x v="2"/>
    <x v="0"/>
    <x v="0"/>
    <x v="2"/>
    <n v="3"/>
    <n v="800"/>
    <x v="2"/>
    <s v="Boston"/>
    <x v="2"/>
    <n v="2400"/>
    <n v="960"/>
    <s v="Yes"/>
    <n v="96"/>
    <x v="2"/>
    <x v="6"/>
  </r>
  <r>
    <d v="2024-07-22T00:00:00"/>
    <x v="3"/>
    <x v="2"/>
    <x v="1"/>
    <x v="3"/>
    <n v="5"/>
    <n v="45"/>
    <x v="3"/>
    <s v="Los Angeles"/>
    <x v="0"/>
    <n v="225"/>
    <n v="67.5"/>
    <s v="No"/>
    <n v="6.75"/>
    <x v="2"/>
    <x v="6"/>
  </r>
  <r>
    <d v="2024-08-01T00:00:00"/>
    <x v="0"/>
    <x v="1"/>
    <x v="1"/>
    <x v="0"/>
    <n v="30"/>
    <n v="25"/>
    <x v="0"/>
    <s v="New York"/>
    <x v="0"/>
    <n v="750"/>
    <n v="225"/>
    <s v="No"/>
    <n v="22.5"/>
    <x v="2"/>
    <x v="7"/>
  </r>
  <r>
    <d v="2024-08-08T00:00:00"/>
    <x v="1"/>
    <x v="5"/>
    <x v="0"/>
    <x v="1"/>
    <n v="2"/>
    <n v="400"/>
    <x v="1"/>
    <s v="Miami"/>
    <x v="1"/>
    <n v="800"/>
    <n v="320"/>
    <s v="No"/>
    <n v="32"/>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78302E-96DB-4FE3-9C90-19B8861EDCB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7:D32" firstHeaderRow="0" firstDataRow="1" firstDataCol="1"/>
  <pivotFields count="16">
    <pivotField numFmtId="14" showAll="0"/>
    <pivotField showAll="0">
      <items count="5">
        <item x="2"/>
        <item x="0"/>
        <item x="1"/>
        <item x="3"/>
        <item t="default"/>
      </items>
    </pivotField>
    <pivotField showAll="0">
      <items count="7">
        <item x="4"/>
        <item x="2"/>
        <item x="0"/>
        <item x="3"/>
        <item x="1"/>
        <item x="5"/>
        <item t="default"/>
      </items>
    </pivotField>
    <pivotField showAll="0">
      <items count="3">
        <item x="1"/>
        <item x="0"/>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dataField="1" showAll="0"/>
    <pivotField numFmtId="164" showAll="0"/>
    <pivotField showAll="0"/>
    <pivotField showAll="0"/>
    <pivotField showAll="0"/>
    <pivotField dataField="1" numFmtId="164" showAll="0"/>
    <pivotField numFmtId="164" showAll="0"/>
    <pivotField showAll="0"/>
    <pivotField dataField="1" numFmtId="164" showAll="0"/>
    <pivotField showAll="0">
      <items count="4">
        <item x="0"/>
        <item x="1"/>
        <item x="2"/>
        <item t="default"/>
      </items>
    </pivotField>
    <pivotField showAll="0">
      <items count="9">
        <item x="0"/>
        <item x="1"/>
        <item x="2"/>
        <item x="3"/>
        <item x="4"/>
        <item x="5"/>
        <item x="6"/>
        <item x="7"/>
        <item t="default"/>
      </items>
    </pivotField>
  </pivotFields>
  <rowFields count="1">
    <field x="4"/>
  </rowFields>
  <rowItems count="5">
    <i>
      <x/>
    </i>
    <i>
      <x v="2"/>
    </i>
    <i>
      <x v="1"/>
    </i>
    <i>
      <x v="3"/>
    </i>
    <i t="grand">
      <x/>
    </i>
  </rowItems>
  <colFields count="1">
    <field x="-2"/>
  </colFields>
  <colItems count="3">
    <i>
      <x/>
    </i>
    <i i="1">
      <x v="1"/>
    </i>
    <i i="2">
      <x v="2"/>
    </i>
  </colItems>
  <dataFields count="3">
    <dataField name="Sum of Total_Sales" fld="10" baseField="0" baseItem="0" numFmtId="164"/>
    <dataField name="Sum of Commission" fld="13" baseField="0" baseItem="0" numFmtId="164"/>
    <dataField name="Sum of Units" fld="5" baseField="0" baseItem="0"/>
  </dataFields>
  <formats count="18">
    <format dxfId="1464">
      <pivotArea type="all" dataOnly="0" outline="0" fieldPosition="0"/>
    </format>
    <format dxfId="1465">
      <pivotArea outline="0" collapsedLevelsAreSubtotals="1" fieldPosition="0"/>
    </format>
    <format dxfId="1466">
      <pivotArea field="4" type="button" dataOnly="0" labelOnly="1" outline="0" axis="axisRow" fieldPosition="0"/>
    </format>
    <format dxfId="1467">
      <pivotArea dataOnly="0" labelOnly="1" fieldPosition="0">
        <references count="1">
          <reference field="4" count="0"/>
        </references>
      </pivotArea>
    </format>
    <format dxfId="1468">
      <pivotArea dataOnly="0" labelOnly="1" grandRow="1" outline="0" fieldPosition="0"/>
    </format>
    <format dxfId="1469">
      <pivotArea dataOnly="0" labelOnly="1" outline="0" fieldPosition="0">
        <references count="1">
          <reference field="4294967294" count="3">
            <x v="0"/>
            <x v="1"/>
            <x v="2"/>
          </reference>
        </references>
      </pivotArea>
    </format>
    <format dxfId="1470">
      <pivotArea type="all" dataOnly="0" outline="0" fieldPosition="0"/>
    </format>
    <format dxfId="1471">
      <pivotArea outline="0" collapsedLevelsAreSubtotals="1" fieldPosition="0"/>
    </format>
    <format dxfId="1472">
      <pivotArea field="4" type="button" dataOnly="0" labelOnly="1" outline="0" axis="axisRow" fieldPosition="0"/>
    </format>
    <format dxfId="1473">
      <pivotArea dataOnly="0" labelOnly="1" fieldPosition="0">
        <references count="1">
          <reference field="4" count="0"/>
        </references>
      </pivotArea>
    </format>
    <format dxfId="1474">
      <pivotArea dataOnly="0" labelOnly="1" grandRow="1" outline="0" fieldPosition="0"/>
    </format>
    <format dxfId="1475">
      <pivotArea dataOnly="0" labelOnly="1" outline="0" fieldPosition="0">
        <references count="1">
          <reference field="4294967294" count="3">
            <x v="0"/>
            <x v="1"/>
            <x v="2"/>
          </reference>
        </references>
      </pivotArea>
    </format>
    <format dxfId="1476">
      <pivotArea type="all" dataOnly="0" outline="0" fieldPosition="0"/>
    </format>
    <format dxfId="1477">
      <pivotArea outline="0" collapsedLevelsAreSubtotals="1" fieldPosition="0"/>
    </format>
    <format dxfId="1478">
      <pivotArea field="4" type="button" dataOnly="0" labelOnly="1" outline="0" axis="axisRow" fieldPosition="0"/>
    </format>
    <format dxfId="1479">
      <pivotArea dataOnly="0" labelOnly="1" fieldPosition="0">
        <references count="1">
          <reference field="4" count="0"/>
        </references>
      </pivotArea>
    </format>
    <format dxfId="1480">
      <pivotArea dataOnly="0" labelOnly="1" grandRow="1" outline="0" fieldPosition="0"/>
    </format>
    <format dxfId="1481">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C01B48-2E33-4AC4-89CD-F0FF1878733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5" firstHeaderRow="0" firstDataRow="1" firstDataCol="1"/>
  <pivotFields count="16">
    <pivotField numFmtId="14" showAll="0"/>
    <pivotField showAll="0"/>
    <pivotField showAll="0">
      <items count="7">
        <item x="4"/>
        <item x="2"/>
        <item x="0"/>
        <item x="3"/>
        <item x="1"/>
        <item x="5"/>
        <item t="default"/>
      </items>
    </pivotField>
    <pivotField showAll="0"/>
    <pivotField showAll="0">
      <items count="5">
        <item x="0"/>
        <item x="3"/>
        <item x="2"/>
        <item x="1"/>
        <item t="default"/>
      </items>
    </pivotField>
    <pivotField showAll="0"/>
    <pivotField numFmtId="164" showAll="0"/>
    <pivotField dataField="1" showAll="0">
      <items count="6">
        <item h="1" x="0"/>
        <item h="1" x="1"/>
        <item x="3"/>
        <item h="1" x="4"/>
        <item h="1" x="2"/>
        <item t="default"/>
      </items>
    </pivotField>
    <pivotField showAll="0"/>
    <pivotField axis="axisRow" showAll="0">
      <items count="4">
        <item x="0"/>
        <item x="2"/>
        <item x="1"/>
        <item t="default"/>
      </items>
    </pivotField>
    <pivotField dataField="1" numFmtId="164" showAll="0"/>
    <pivotField numFmtId="164" showAll="0"/>
    <pivotField showAll="0"/>
    <pivotField numFmtId="164" showAll="0"/>
    <pivotField showAll="0"/>
    <pivotField showAll="0">
      <items count="9">
        <item x="0"/>
        <item x="1"/>
        <item x="2"/>
        <item x="3"/>
        <item x="4"/>
        <item x="5"/>
        <item x="6"/>
        <item x="7"/>
        <item t="default"/>
      </items>
    </pivotField>
  </pivotFields>
  <rowFields count="1">
    <field x="9"/>
  </rowFields>
  <rowItems count="4">
    <i>
      <x/>
    </i>
    <i>
      <x v="1"/>
    </i>
    <i>
      <x v="2"/>
    </i>
    <i t="grand">
      <x/>
    </i>
  </rowItems>
  <colFields count="1">
    <field x="-2"/>
  </colFields>
  <colItems count="2">
    <i>
      <x/>
    </i>
    <i i="1">
      <x v="1"/>
    </i>
  </colItems>
  <dataFields count="2">
    <dataField name="Count of Customer_Name" fld="7" subtotal="count" showDataAs="percentOfTotal" baseField="9" baseItem="0" numFmtId="10"/>
    <dataField name="Sum of Total_Sales" fld="10" baseField="0" baseItem="0" numFmtId="164"/>
  </dataFields>
  <formats count="18">
    <format dxfId="1482">
      <pivotArea type="all" dataOnly="0" outline="0" fieldPosition="0"/>
    </format>
    <format dxfId="1483">
      <pivotArea outline="0" collapsedLevelsAreSubtotals="1" fieldPosition="0"/>
    </format>
    <format dxfId="1484">
      <pivotArea field="9" type="button" dataOnly="0" labelOnly="1" outline="0" axis="axisRow" fieldPosition="0"/>
    </format>
    <format dxfId="1485">
      <pivotArea dataOnly="0" labelOnly="1" fieldPosition="0">
        <references count="1">
          <reference field="9" count="0"/>
        </references>
      </pivotArea>
    </format>
    <format dxfId="1486">
      <pivotArea dataOnly="0" labelOnly="1" grandRow="1" outline="0" fieldPosition="0"/>
    </format>
    <format dxfId="1487">
      <pivotArea dataOnly="0" labelOnly="1" outline="0" fieldPosition="0">
        <references count="1">
          <reference field="4294967294" count="2">
            <x v="0"/>
            <x v="1"/>
          </reference>
        </references>
      </pivotArea>
    </format>
    <format dxfId="1488">
      <pivotArea type="all" dataOnly="0" outline="0" fieldPosition="0"/>
    </format>
    <format dxfId="1489">
      <pivotArea outline="0" collapsedLevelsAreSubtotals="1" fieldPosition="0"/>
    </format>
    <format dxfId="1490">
      <pivotArea field="9" type="button" dataOnly="0" labelOnly="1" outline="0" axis="axisRow" fieldPosition="0"/>
    </format>
    <format dxfId="1491">
      <pivotArea dataOnly="0" labelOnly="1" fieldPosition="0">
        <references count="1">
          <reference field="9" count="0"/>
        </references>
      </pivotArea>
    </format>
    <format dxfId="1492">
      <pivotArea dataOnly="0" labelOnly="1" grandRow="1" outline="0" fieldPosition="0"/>
    </format>
    <format dxfId="1493">
      <pivotArea dataOnly="0" labelOnly="1" outline="0" fieldPosition="0">
        <references count="1">
          <reference field="4294967294" count="2">
            <x v="0"/>
            <x v="1"/>
          </reference>
        </references>
      </pivotArea>
    </format>
    <format dxfId="1494">
      <pivotArea type="all" dataOnly="0" outline="0" fieldPosition="0"/>
    </format>
    <format dxfId="1495">
      <pivotArea outline="0" collapsedLevelsAreSubtotals="1" fieldPosition="0"/>
    </format>
    <format dxfId="1496">
      <pivotArea field="9" type="button" dataOnly="0" labelOnly="1" outline="0" axis="axisRow" fieldPosition="0"/>
    </format>
    <format dxfId="1497">
      <pivotArea dataOnly="0" labelOnly="1" fieldPosition="0">
        <references count="1">
          <reference field="9" count="0"/>
        </references>
      </pivotArea>
    </format>
    <format dxfId="1498">
      <pivotArea dataOnly="0" labelOnly="1" grandRow="1" outline="0" fieldPosition="0"/>
    </format>
    <format dxfId="1499">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1"/>
          </reference>
          <reference field="9" count="1" selected="0">
            <x v="0"/>
          </reference>
        </references>
      </pivotArea>
    </chartFormat>
    <chartFormat chart="0" format="6">
      <pivotArea type="data" outline="0" fieldPosition="0">
        <references count="2">
          <reference field="4294967294" count="1" selected="0">
            <x v="1"/>
          </reference>
          <reference field="9" count="1" selected="0">
            <x v="1"/>
          </reference>
        </references>
      </pivotArea>
    </chartFormat>
    <chartFormat chart="0" format="7">
      <pivotArea type="data" outline="0" fieldPosition="0">
        <references count="2">
          <reference field="4294967294" count="1" selected="0">
            <x v="1"/>
          </reference>
          <reference field="9"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C1DCD4-DB99-4CBA-BB21-A1D6AEFCD6D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F24" firstHeaderRow="1" firstDataRow="2" firstDataCol="1"/>
  <pivotFields count="16">
    <pivotField numFmtId="14" showAll="0"/>
    <pivotField axis="axisCol" showAll="0">
      <items count="5">
        <item x="2"/>
        <item x="0"/>
        <item x="1"/>
        <item x="3"/>
        <item t="default"/>
      </items>
    </pivotField>
    <pivotField showAll="0">
      <items count="7">
        <item x="4"/>
        <item x="2"/>
        <item x="0"/>
        <item x="3"/>
        <item x="1"/>
        <item x="5"/>
        <item t="default"/>
      </items>
    </pivotField>
    <pivotField axis="axisRow" showAll="0">
      <items count="3">
        <item x="1"/>
        <item x="0"/>
        <item t="default"/>
      </items>
    </pivotField>
    <pivotField showAll="0">
      <items count="5">
        <item x="0"/>
        <item x="3"/>
        <item x="2"/>
        <item x="1"/>
        <item t="default"/>
      </items>
    </pivotField>
    <pivotField showAll="0"/>
    <pivotField numFmtId="164" showAll="0"/>
    <pivotField showAll="0"/>
    <pivotField showAll="0"/>
    <pivotField showAll="0"/>
    <pivotField dataField="1" numFmtId="164" showAll="0"/>
    <pivotField numFmtId="164" showAll="0"/>
    <pivotField showAll="0"/>
    <pivotField numFmtId="164" showAll="0"/>
    <pivotField showAll="0">
      <items count="4">
        <item x="0"/>
        <item x="1"/>
        <item x="2"/>
        <item t="default"/>
      </items>
    </pivotField>
    <pivotField showAll="0">
      <items count="9">
        <item x="0"/>
        <item x="1"/>
        <item x="2"/>
        <item x="3"/>
        <item x="4"/>
        <item x="5"/>
        <item x="6"/>
        <item x="7"/>
        <item t="default"/>
      </items>
    </pivotField>
  </pivotFields>
  <rowFields count="1">
    <field x="3"/>
  </rowFields>
  <rowItems count="3">
    <i>
      <x/>
    </i>
    <i>
      <x v="1"/>
    </i>
    <i t="grand">
      <x/>
    </i>
  </rowItems>
  <colFields count="1">
    <field x="1"/>
  </colFields>
  <colItems count="5">
    <i>
      <x/>
    </i>
    <i>
      <x v="1"/>
    </i>
    <i>
      <x v="2"/>
    </i>
    <i>
      <x v="3"/>
    </i>
    <i t="grand">
      <x/>
    </i>
  </colItems>
  <dataFields count="1">
    <dataField name="Sum of Total_Sales" fld="10" baseField="0" baseItem="0" numFmtId="164"/>
  </dataFields>
  <formats count="30">
    <format dxfId="1500">
      <pivotArea type="all" dataOnly="0" outline="0" fieldPosition="0"/>
    </format>
    <format dxfId="1501">
      <pivotArea outline="0" collapsedLevelsAreSubtotals="1" fieldPosition="0"/>
    </format>
    <format dxfId="1502">
      <pivotArea type="origin" dataOnly="0" labelOnly="1" outline="0" fieldPosition="0"/>
    </format>
    <format dxfId="1503">
      <pivotArea field="1" type="button" dataOnly="0" labelOnly="1" outline="0" axis="axisCol" fieldPosition="0"/>
    </format>
    <format dxfId="1504">
      <pivotArea type="topRight" dataOnly="0" labelOnly="1" outline="0" fieldPosition="0"/>
    </format>
    <format dxfId="1505">
      <pivotArea field="3" type="button" dataOnly="0" labelOnly="1" outline="0" axis="axisRow" fieldPosition="0"/>
    </format>
    <format dxfId="1506">
      <pivotArea dataOnly="0" labelOnly="1" fieldPosition="0">
        <references count="1">
          <reference field="3" count="0"/>
        </references>
      </pivotArea>
    </format>
    <format dxfId="1507">
      <pivotArea dataOnly="0" labelOnly="1" grandRow="1" outline="0" fieldPosition="0"/>
    </format>
    <format dxfId="1508">
      <pivotArea dataOnly="0" labelOnly="1" fieldPosition="0">
        <references count="1">
          <reference field="1" count="0"/>
        </references>
      </pivotArea>
    </format>
    <format dxfId="1509">
      <pivotArea dataOnly="0" labelOnly="1" grandCol="1" outline="0" fieldPosition="0"/>
    </format>
    <format dxfId="1510">
      <pivotArea type="all" dataOnly="0" outline="0" fieldPosition="0"/>
    </format>
    <format dxfId="1511">
      <pivotArea outline="0" collapsedLevelsAreSubtotals="1" fieldPosition="0"/>
    </format>
    <format dxfId="1512">
      <pivotArea type="origin" dataOnly="0" labelOnly="1" outline="0" fieldPosition="0"/>
    </format>
    <format dxfId="1513">
      <pivotArea field="1" type="button" dataOnly="0" labelOnly="1" outline="0" axis="axisCol" fieldPosition="0"/>
    </format>
    <format dxfId="1514">
      <pivotArea type="topRight" dataOnly="0" labelOnly="1" outline="0" fieldPosition="0"/>
    </format>
    <format dxfId="1515">
      <pivotArea field="3" type="button" dataOnly="0" labelOnly="1" outline="0" axis="axisRow" fieldPosition="0"/>
    </format>
    <format dxfId="1516">
      <pivotArea dataOnly="0" labelOnly="1" fieldPosition="0">
        <references count="1">
          <reference field="3" count="0"/>
        </references>
      </pivotArea>
    </format>
    <format dxfId="1517">
      <pivotArea dataOnly="0" labelOnly="1" grandRow="1" outline="0" fieldPosition="0"/>
    </format>
    <format dxfId="1518">
      <pivotArea dataOnly="0" labelOnly="1" fieldPosition="0">
        <references count="1">
          <reference field="1" count="0"/>
        </references>
      </pivotArea>
    </format>
    <format dxfId="1519">
      <pivotArea dataOnly="0" labelOnly="1" grandCol="1" outline="0" fieldPosition="0"/>
    </format>
    <format dxfId="1520">
      <pivotArea type="all" dataOnly="0" outline="0" fieldPosition="0"/>
    </format>
    <format dxfId="1521">
      <pivotArea outline="0" collapsedLevelsAreSubtotals="1" fieldPosition="0"/>
    </format>
    <format dxfId="1522">
      <pivotArea type="origin" dataOnly="0" labelOnly="1" outline="0" fieldPosition="0"/>
    </format>
    <format dxfId="1523">
      <pivotArea field="1" type="button" dataOnly="0" labelOnly="1" outline="0" axis="axisCol" fieldPosition="0"/>
    </format>
    <format dxfId="1524">
      <pivotArea type="topRight" dataOnly="0" labelOnly="1" outline="0" fieldPosition="0"/>
    </format>
    <format dxfId="1525">
      <pivotArea field="3" type="button" dataOnly="0" labelOnly="1" outline="0" axis="axisRow" fieldPosition="0"/>
    </format>
    <format dxfId="1526">
      <pivotArea dataOnly="0" labelOnly="1" fieldPosition="0">
        <references count="1">
          <reference field="3" count="0"/>
        </references>
      </pivotArea>
    </format>
    <format dxfId="1527">
      <pivotArea dataOnly="0" labelOnly="1" grandRow="1" outline="0" fieldPosition="0"/>
    </format>
    <format dxfId="1528">
      <pivotArea dataOnly="0" labelOnly="1" fieldPosition="0">
        <references count="1">
          <reference field="1" count="0"/>
        </references>
      </pivotArea>
    </format>
    <format dxfId="152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34C40-58A3-4BAB-AAA7-10AABEB3F73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C17" firstHeaderRow="0" firstDataRow="1" firstDataCol="1"/>
  <pivotFields count="16">
    <pivotField numFmtId="14" showAll="0"/>
    <pivotField showAll="0">
      <items count="5">
        <item x="2"/>
        <item x="0"/>
        <item x="1"/>
        <item x="3"/>
        <item t="default"/>
      </items>
    </pivotField>
    <pivotField showAll="0">
      <items count="7">
        <item x="4"/>
        <item x="2"/>
        <item x="0"/>
        <item x="3"/>
        <item x="1"/>
        <item x="5"/>
        <item t="default"/>
      </items>
    </pivotField>
    <pivotField showAll="0">
      <items count="3">
        <item x="1"/>
        <item x="0"/>
        <item t="default"/>
      </items>
    </pivotField>
    <pivotField showAll="0">
      <items count="5">
        <item x="0"/>
        <item x="3"/>
        <item x="2"/>
        <item x="1"/>
        <item t="default"/>
      </items>
    </pivotField>
    <pivotField showAll="0"/>
    <pivotField numFmtId="164" showAll="0"/>
    <pivotField showAll="0"/>
    <pivotField showAll="0"/>
    <pivotField showAll="0"/>
    <pivotField dataField="1" numFmtId="164" showAll="0"/>
    <pivotField numFmtId="164" showAll="0"/>
    <pivotField showAll="0"/>
    <pivotField numFmtId="164" showAll="0"/>
    <pivotField showAll="0">
      <items count="4">
        <item x="0"/>
        <item x="1"/>
        <item x="2"/>
        <item t="default"/>
      </items>
    </pivotField>
    <pivotField axis="axisRow" showAll="0" sortType="ascending">
      <items count="9">
        <item x="0"/>
        <item x="1"/>
        <item x="2"/>
        <item x="3"/>
        <item x="4"/>
        <item x="5"/>
        <item x="6"/>
        <item x="7"/>
        <item t="default"/>
      </items>
    </pivotField>
  </pivotFields>
  <rowFields count="1">
    <field x="15"/>
  </rowFields>
  <rowItems count="9">
    <i>
      <x/>
    </i>
    <i>
      <x v="1"/>
    </i>
    <i>
      <x v="2"/>
    </i>
    <i>
      <x v="3"/>
    </i>
    <i>
      <x v="4"/>
    </i>
    <i>
      <x v="5"/>
    </i>
    <i>
      <x v="6"/>
    </i>
    <i>
      <x v="7"/>
    </i>
    <i t="grand">
      <x/>
    </i>
  </rowItems>
  <colFields count="1">
    <field x="-2"/>
  </colFields>
  <colItems count="2">
    <i>
      <x/>
    </i>
    <i i="1">
      <x v="1"/>
    </i>
  </colItems>
  <dataFields count="2">
    <dataField name="Sum of Total_Sales" fld="10" baseField="0" baseItem="0" numFmtId="164"/>
    <dataField name="Sum of Total_Sales2" fld="10" showDataAs="percentOfTotal" baseField="15" baseItem="2" numFmtId="10"/>
  </dataFields>
  <formats count="18">
    <format dxfId="1548">
      <pivotArea type="all" dataOnly="0" outline="0" fieldPosition="0"/>
    </format>
    <format dxfId="1549">
      <pivotArea outline="0" collapsedLevelsAreSubtotals="1" fieldPosition="0"/>
    </format>
    <format dxfId="1550">
      <pivotArea field="15" type="button" dataOnly="0" labelOnly="1" outline="0" axis="axisRow" fieldPosition="0"/>
    </format>
    <format dxfId="1551">
      <pivotArea dataOnly="0" labelOnly="1" fieldPosition="0">
        <references count="1">
          <reference field="15" count="0"/>
        </references>
      </pivotArea>
    </format>
    <format dxfId="1552">
      <pivotArea dataOnly="0" labelOnly="1" grandRow="1" outline="0" fieldPosition="0"/>
    </format>
    <format dxfId="1553">
      <pivotArea dataOnly="0" labelOnly="1" outline="0" fieldPosition="0">
        <references count="1">
          <reference field="4294967294" count="2">
            <x v="0"/>
            <x v="1"/>
          </reference>
        </references>
      </pivotArea>
    </format>
    <format dxfId="1554">
      <pivotArea type="all" dataOnly="0" outline="0" fieldPosition="0"/>
    </format>
    <format dxfId="1555">
      <pivotArea outline="0" collapsedLevelsAreSubtotals="1" fieldPosition="0"/>
    </format>
    <format dxfId="1556">
      <pivotArea field="15" type="button" dataOnly="0" labelOnly="1" outline="0" axis="axisRow" fieldPosition="0"/>
    </format>
    <format dxfId="1557">
      <pivotArea dataOnly="0" labelOnly="1" fieldPosition="0">
        <references count="1">
          <reference field="15" count="0"/>
        </references>
      </pivotArea>
    </format>
    <format dxfId="1558">
      <pivotArea dataOnly="0" labelOnly="1" grandRow="1" outline="0" fieldPosition="0"/>
    </format>
    <format dxfId="1559">
      <pivotArea dataOnly="0" labelOnly="1" outline="0" fieldPosition="0">
        <references count="1">
          <reference field="4294967294" count="2">
            <x v="0"/>
            <x v="1"/>
          </reference>
        </references>
      </pivotArea>
    </format>
    <format dxfId="1560">
      <pivotArea type="all" dataOnly="0" outline="0" fieldPosition="0"/>
    </format>
    <format dxfId="1561">
      <pivotArea outline="0" collapsedLevelsAreSubtotals="1" fieldPosition="0"/>
    </format>
    <format dxfId="1562">
      <pivotArea field="15" type="button" dataOnly="0" labelOnly="1" outline="0" axis="axisRow" fieldPosition="0"/>
    </format>
    <format dxfId="1563">
      <pivotArea dataOnly="0" labelOnly="1" fieldPosition="0">
        <references count="1">
          <reference field="15" count="0"/>
        </references>
      </pivotArea>
    </format>
    <format dxfId="1564">
      <pivotArea dataOnly="0" labelOnly="1" grandRow="1" outline="0" fieldPosition="0"/>
    </format>
    <format dxfId="156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42FA05-B546-4E64-9A6F-C06A33A3C119}" sourceName="Product">
  <pivotTables>
    <pivotTable tabId="9" name="PivotTable3"/>
    <pivotTable tabId="9" name="PivotTable5"/>
    <pivotTable tabId="9" name="PivotTable6"/>
    <pivotTable tabId="9" name="PivotTable7"/>
  </pivotTables>
  <data>
    <tabular pivotCacheId="1539070350">
      <items count="6">
        <i x="4" s="1"/>
        <i x="2" s="1"/>
        <i x="0"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EF378D9-B920-4E9F-B678-C0A51D54C045}" sourceName="Salesperson">
  <pivotTables>
    <pivotTable tabId="9" name="PivotTable3"/>
    <pivotTable tabId="9" name="PivotTable5"/>
    <pivotTable tabId="9" name="PivotTable6"/>
    <pivotTable tabId="9" name="PivotTable7"/>
  </pivotTables>
  <data>
    <tabular pivotCacheId="1539070350">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53B9F38-8FD7-4F66-9E90-7EFDC8A13A82}" sourceName="Month_Name">
  <pivotTables>
    <pivotTable tabId="9" name="PivotTable3"/>
    <pivotTable tabId="9" name="PivotTable5"/>
    <pivotTable tabId="9" name="PivotTable6"/>
    <pivotTable tabId="9" name="PivotTable7"/>
  </pivotTables>
  <data>
    <tabular pivotCacheId="1539070350">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90CBE99-681E-4CBC-9EF0-FFCBB6FAB185}" cache="Slicer_Product" caption="Product" rowHeight="241300"/>
  <slicer name="Salesperson" xr10:uid="{9FDA4E0F-61A4-4D5D-9CE3-5FF54E90FAA8}" cache="Slicer_Salesperson" caption="Salesperson" rowHeight="241300"/>
  <slicer name="Month_Name" xr10:uid="{B98F1AE8-18FB-4047-B0E7-7977DA1FF8FB}" cache="Slicer_Month_Name" caption="Month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A27710-F7D5-422D-B95D-E19850B367E2}" name="tblSales" displayName="tblSales" ref="A1:J31" totalsRowShown="0" headerRowDxfId="1649" dataDxfId="1647" headerRowBorderDxfId="1648" tableBorderDxfId="1646" totalsRowBorderDxfId="1645">
  <tableColumns count="10">
    <tableColumn id="1" xr3:uid="{ACA0C19B-162F-4034-87C5-AFC3C5DAED22}" name="Date" dataDxfId="1644"/>
    <tableColumn id="2" xr3:uid="{C095BB0A-67C5-4404-B2B2-7F99C0594AD0}" name="Region" dataDxfId="1643"/>
    <tableColumn id="3" xr3:uid="{DB17AA84-F64E-4ACB-B13F-B57D24B445E7}" name="Product" dataDxfId="1642"/>
    <tableColumn id="4" xr3:uid="{6CCAAE01-2D3B-4714-9DB2-31E51BEBC4CB}" name="Category" dataDxfId="1641"/>
    <tableColumn id="5" xr3:uid="{57BFCE51-6A49-42FD-A97F-CADD6A295DE7}" name="Salesperson" dataDxfId="1640"/>
    <tableColumn id="6" xr3:uid="{C8A12244-4802-470D-9B87-EB1500B74AC1}" name="Units" dataDxfId="1639"/>
    <tableColumn id="7" xr3:uid="{41EB5F77-C989-4712-A26B-FF11DEA60B71}" name="Price" dataDxfId="1638"/>
    <tableColumn id="8" xr3:uid="{35F62C1E-280E-4181-8257-D628880CC56E}" name="Customer_Name" dataDxfId="1637"/>
    <tableColumn id="9" xr3:uid="{030F86CF-4CB3-4965-849E-66C54C13B61F}" name="Customer_City" dataDxfId="1636"/>
    <tableColumn id="10" xr3:uid="{33C35578-A832-42BC-BB35-EA68881CE736}" name="Customer_Tier" dataDxfId="163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900CE0-AA1B-4880-AFF4-28A1EC61AAA4}" name="tblSales3" displayName="tblSales3" ref="A1:P31" totalsRowShown="0" headerRowDxfId="1634" dataDxfId="1632" headerRowBorderDxfId="1633" tableBorderDxfId="1631" totalsRowBorderDxfId="1630">
  <autoFilter ref="A1:P31" xr:uid="{87900CE0-AA1B-4880-AFF4-28A1EC61AAA4}"/>
  <tableColumns count="16">
    <tableColumn id="1" xr3:uid="{73DF134D-D811-4033-986C-E946D3C48E3F}" name="Date" dataDxfId="1629"/>
    <tableColumn id="2" xr3:uid="{40731E48-3F12-4ED5-95DA-F990F215831A}" name="Region" dataDxfId="1628"/>
    <tableColumn id="3" xr3:uid="{3DDAA9A9-E6FB-4B21-B5DF-02FB0AA710E0}" name="Product" dataDxfId="1627"/>
    <tableColumn id="4" xr3:uid="{F9F1A6A5-5AEF-4A95-B66E-90C336A0FEA6}" name="Category" dataDxfId="1626"/>
    <tableColumn id="5" xr3:uid="{0866D5DB-87FD-4B9A-9282-F6C631D1BAEB}" name="Salesperson" dataDxfId="1625"/>
    <tableColumn id="6" xr3:uid="{ECF41F6F-4E58-4562-9D1D-5E4E4BD38B45}" name="Units" dataDxfId="1624"/>
    <tableColumn id="7" xr3:uid="{D938C404-ED18-4AF1-849D-A48C1C1F9131}" name="Price" dataDxfId="1623"/>
    <tableColumn id="8" xr3:uid="{066778DE-5C37-434E-A072-B9D6CDD2EBC6}" name="Customer_Name" dataDxfId="1622"/>
    <tableColumn id="9" xr3:uid="{2B05BB31-EE1A-48BE-BDA0-072018AD1673}" name="Customer_City" dataDxfId="1621"/>
    <tableColumn id="10" xr3:uid="{B5D037D9-3EEC-474C-BADC-F85C3B9E88F4}" name="Customer_Tier" dataDxfId="1620"/>
    <tableColumn id="11" xr3:uid="{7E1E19EE-2285-4086-B842-90F56744939F}" name="Total_Sales" dataDxfId="1619">
      <calculatedColumnFormula>F2*G2</calculatedColumnFormula>
    </tableColumn>
    <tableColumn id="12" xr3:uid="{57083BA8-1DF7-43F8-A840-7B3AB554394F}" name="Profit" dataDxfId="1618">
      <calculatedColumnFormula>IF(D2="Electronics", K2*0.4, K2*0.3)</calculatedColumnFormula>
    </tableColumn>
    <tableColumn id="13" xr3:uid="{9761F83E-60B9-4F6B-A04F-239D3548F8D7}" name="Discount_Eligible" dataDxfId="1617">
      <calculatedColumnFormula>IF(K2&gt;2000, "Yes", "No")</calculatedColumnFormula>
    </tableColumn>
    <tableColumn id="14" xr3:uid="{85FD4E33-8D1F-4B07-9754-CD7E2B9CAE82}" name="Commission" dataDxfId="1616">
      <calculatedColumnFormula>L2*0.1</calculatedColumnFormula>
    </tableColumn>
    <tableColumn id="15" xr3:uid="{F865603D-D673-4B37-A3FE-97CF184BA61E}" name="Quarter" dataDxfId="1615">
      <calculatedColumnFormula>"Q"&amp;ROUNDUP(MONTH(A2)/3,0)</calculatedColumnFormula>
    </tableColumn>
    <tableColumn id="16" xr3:uid="{EEF75B84-06FA-44B6-8F93-FEAAEDC9BF65}" name="Month_Name" dataDxfId="1614">
      <calculatedColumnFormula>TEXT(A2,"MMMM")</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48F0-54A4-4DA2-ACAB-61FEE145B3F9}">
  <dimension ref="A1:J31"/>
  <sheetViews>
    <sheetView workbookViewId="0">
      <selection activeCell="L5" sqref="L5"/>
    </sheetView>
  </sheetViews>
  <sheetFormatPr defaultRowHeight="15" x14ac:dyDescent="0.25"/>
  <cols>
    <col min="1" max="1" width="10.7109375" bestFit="1" customWidth="1"/>
    <col min="2" max="2" width="12.28515625" bestFit="1" customWidth="1"/>
    <col min="3" max="3" width="13.42578125" bestFit="1" customWidth="1"/>
    <col min="4" max="4" width="14.28515625" bestFit="1" customWidth="1"/>
    <col min="5" max="5" width="17.140625" bestFit="1" customWidth="1"/>
    <col min="6" max="6" width="10.5703125" bestFit="1" customWidth="1"/>
    <col min="7" max="7" width="10.42578125" bestFit="1" customWidth="1"/>
    <col min="8" max="8" width="22" bestFit="1" customWidth="1"/>
    <col min="9" max="10" width="19.85546875" bestFit="1" customWidth="1"/>
  </cols>
  <sheetData>
    <row r="1" spans="1:10" ht="15.75" x14ac:dyDescent="0.25">
      <c r="A1" s="23" t="s">
        <v>0</v>
      </c>
      <c r="B1" s="24" t="s">
        <v>1</v>
      </c>
      <c r="C1" s="24" t="s">
        <v>2</v>
      </c>
      <c r="D1" s="24" t="s">
        <v>3</v>
      </c>
      <c r="E1" s="24" t="s">
        <v>4</v>
      </c>
      <c r="F1" s="24" t="s">
        <v>5</v>
      </c>
      <c r="G1" s="24" t="s">
        <v>6</v>
      </c>
      <c r="H1" s="24" t="s">
        <v>7</v>
      </c>
      <c r="I1" s="24" t="s">
        <v>8</v>
      </c>
      <c r="J1" s="25" t="s">
        <v>9</v>
      </c>
    </row>
    <row r="2" spans="1:10" ht="15.75" x14ac:dyDescent="0.25">
      <c r="A2" s="2">
        <v>45296</v>
      </c>
      <c r="B2" s="1" t="s">
        <v>10</v>
      </c>
      <c r="C2" s="1" t="s">
        <v>11</v>
      </c>
      <c r="D2" s="1" t="s">
        <v>12</v>
      </c>
      <c r="E2" s="1" t="s">
        <v>13</v>
      </c>
      <c r="F2" s="1">
        <v>5</v>
      </c>
      <c r="G2" s="1">
        <v>800</v>
      </c>
      <c r="H2" s="1" t="s">
        <v>14</v>
      </c>
      <c r="I2" s="1" t="s">
        <v>15</v>
      </c>
      <c r="J2" s="3" t="s">
        <v>16</v>
      </c>
    </row>
    <row r="3" spans="1:10" ht="15.75" x14ac:dyDescent="0.25">
      <c r="A3" s="2">
        <v>45303</v>
      </c>
      <c r="B3" s="1" t="s">
        <v>17</v>
      </c>
      <c r="C3" s="1" t="s">
        <v>18</v>
      </c>
      <c r="D3" s="1" t="s">
        <v>19</v>
      </c>
      <c r="E3" s="1" t="s">
        <v>20</v>
      </c>
      <c r="F3" s="1">
        <v>12</v>
      </c>
      <c r="G3" s="1">
        <v>25</v>
      </c>
      <c r="H3" s="1" t="s">
        <v>21</v>
      </c>
      <c r="I3" s="1" t="s">
        <v>22</v>
      </c>
      <c r="J3" s="3" t="s">
        <v>23</v>
      </c>
    </row>
    <row r="4" spans="1:10" ht="15.75" x14ac:dyDescent="0.25">
      <c r="A4" s="2">
        <v>45309</v>
      </c>
      <c r="B4" s="1" t="s">
        <v>24</v>
      </c>
      <c r="C4" s="1" t="s">
        <v>25</v>
      </c>
      <c r="D4" s="1" t="s">
        <v>19</v>
      </c>
      <c r="E4" s="1" t="s">
        <v>26</v>
      </c>
      <c r="F4" s="1">
        <v>8</v>
      </c>
      <c r="G4" s="1">
        <v>45</v>
      </c>
      <c r="H4" s="1" t="s">
        <v>27</v>
      </c>
      <c r="I4" s="1" t="s">
        <v>28</v>
      </c>
      <c r="J4" s="3" t="s">
        <v>29</v>
      </c>
    </row>
    <row r="5" spans="1:10" ht="15.75" x14ac:dyDescent="0.25">
      <c r="A5" s="2">
        <v>45316</v>
      </c>
      <c r="B5" s="1" t="s">
        <v>30</v>
      </c>
      <c r="C5" s="1" t="s">
        <v>31</v>
      </c>
      <c r="D5" s="1" t="s">
        <v>12</v>
      </c>
      <c r="E5" s="1" t="s">
        <v>32</v>
      </c>
      <c r="F5" s="1">
        <v>3</v>
      </c>
      <c r="G5" s="1">
        <v>300</v>
      </c>
      <c r="H5" s="1" t="s">
        <v>33</v>
      </c>
      <c r="I5" s="1" t="s">
        <v>34</v>
      </c>
      <c r="J5" s="3" t="s">
        <v>16</v>
      </c>
    </row>
    <row r="6" spans="1:10" ht="15.75" x14ac:dyDescent="0.25">
      <c r="A6" s="2">
        <v>45324</v>
      </c>
      <c r="B6" s="1" t="s">
        <v>10</v>
      </c>
      <c r="C6" s="1" t="s">
        <v>11</v>
      </c>
      <c r="D6" s="1" t="s">
        <v>12</v>
      </c>
      <c r="E6" s="1" t="s">
        <v>13</v>
      </c>
      <c r="F6" s="1">
        <v>2</v>
      </c>
      <c r="G6" s="1">
        <v>800</v>
      </c>
      <c r="H6" s="1" t="s">
        <v>14</v>
      </c>
      <c r="I6" s="1" t="s">
        <v>15</v>
      </c>
      <c r="J6" s="3" t="s">
        <v>16</v>
      </c>
    </row>
    <row r="7" spans="1:10" ht="15.75" x14ac:dyDescent="0.25">
      <c r="A7" s="2">
        <v>45331</v>
      </c>
      <c r="B7" s="1" t="s">
        <v>17</v>
      </c>
      <c r="C7" s="1" t="s">
        <v>18</v>
      </c>
      <c r="D7" s="1" t="s">
        <v>19</v>
      </c>
      <c r="E7" s="1" t="s">
        <v>20</v>
      </c>
      <c r="F7" s="1">
        <v>15</v>
      </c>
      <c r="G7" s="1">
        <v>25</v>
      </c>
      <c r="H7" s="1" t="s">
        <v>21</v>
      </c>
      <c r="I7" s="1" t="s">
        <v>22</v>
      </c>
      <c r="J7" s="3" t="s">
        <v>23</v>
      </c>
    </row>
    <row r="8" spans="1:10" ht="15.75" x14ac:dyDescent="0.25">
      <c r="A8" s="2">
        <v>45338</v>
      </c>
      <c r="B8" s="1" t="s">
        <v>24</v>
      </c>
      <c r="C8" s="1" t="s">
        <v>35</v>
      </c>
      <c r="D8" s="1" t="s">
        <v>19</v>
      </c>
      <c r="E8" s="1" t="s">
        <v>26</v>
      </c>
      <c r="F8" s="1">
        <v>10</v>
      </c>
      <c r="G8" s="1">
        <v>80</v>
      </c>
      <c r="H8" s="1" t="s">
        <v>27</v>
      </c>
      <c r="I8" s="1" t="s">
        <v>28</v>
      </c>
      <c r="J8" s="3" t="s">
        <v>29</v>
      </c>
    </row>
    <row r="9" spans="1:10" ht="15.75" x14ac:dyDescent="0.25">
      <c r="A9" s="2">
        <v>45345</v>
      </c>
      <c r="B9" s="1" t="s">
        <v>30</v>
      </c>
      <c r="C9" s="1" t="s">
        <v>31</v>
      </c>
      <c r="D9" s="1" t="s">
        <v>12</v>
      </c>
      <c r="E9" s="1" t="s">
        <v>32</v>
      </c>
      <c r="F9" s="1">
        <v>4</v>
      </c>
      <c r="G9" s="1">
        <v>300</v>
      </c>
      <c r="H9" s="1" t="s">
        <v>33</v>
      </c>
      <c r="I9" s="1" t="s">
        <v>34</v>
      </c>
      <c r="J9" s="3" t="s">
        <v>16</v>
      </c>
    </row>
    <row r="10" spans="1:10" ht="15.75" x14ac:dyDescent="0.25">
      <c r="A10" s="2">
        <v>45353</v>
      </c>
      <c r="B10" s="1" t="s">
        <v>10</v>
      </c>
      <c r="C10" s="1" t="s">
        <v>36</v>
      </c>
      <c r="D10" s="1" t="s">
        <v>12</v>
      </c>
      <c r="E10" s="1" t="s">
        <v>13</v>
      </c>
      <c r="F10" s="1">
        <v>6</v>
      </c>
      <c r="G10" s="1">
        <v>400</v>
      </c>
      <c r="H10" s="1" t="s">
        <v>37</v>
      </c>
      <c r="I10" s="1" t="s">
        <v>15</v>
      </c>
      <c r="J10" s="3" t="s">
        <v>29</v>
      </c>
    </row>
    <row r="11" spans="1:10" ht="15.75" x14ac:dyDescent="0.25">
      <c r="A11" s="2">
        <v>45360</v>
      </c>
      <c r="B11" s="1" t="s">
        <v>17</v>
      </c>
      <c r="C11" s="1" t="s">
        <v>25</v>
      </c>
      <c r="D11" s="1" t="s">
        <v>19</v>
      </c>
      <c r="E11" s="1" t="s">
        <v>20</v>
      </c>
      <c r="F11" s="1">
        <v>7</v>
      </c>
      <c r="G11" s="1">
        <v>45</v>
      </c>
      <c r="H11" s="1" t="s">
        <v>21</v>
      </c>
      <c r="I11" s="1" t="s">
        <v>22</v>
      </c>
      <c r="J11" s="3" t="s">
        <v>23</v>
      </c>
    </row>
    <row r="12" spans="1:10" ht="15.75" x14ac:dyDescent="0.25">
      <c r="A12" s="2">
        <v>45367</v>
      </c>
      <c r="B12" s="1" t="s">
        <v>24</v>
      </c>
      <c r="C12" s="1" t="s">
        <v>11</v>
      </c>
      <c r="D12" s="1" t="s">
        <v>12</v>
      </c>
      <c r="E12" s="1" t="s">
        <v>26</v>
      </c>
      <c r="F12" s="1">
        <v>4</v>
      </c>
      <c r="G12" s="1">
        <v>800</v>
      </c>
      <c r="H12" s="1" t="s">
        <v>27</v>
      </c>
      <c r="I12" s="1" t="s">
        <v>28</v>
      </c>
      <c r="J12" s="3" t="s">
        <v>29</v>
      </c>
    </row>
    <row r="13" spans="1:10" ht="15.75" x14ac:dyDescent="0.25">
      <c r="A13" s="2">
        <v>45374</v>
      </c>
      <c r="B13" s="1" t="s">
        <v>30</v>
      </c>
      <c r="C13" s="1" t="s">
        <v>35</v>
      </c>
      <c r="D13" s="1" t="s">
        <v>19</v>
      </c>
      <c r="E13" s="1" t="s">
        <v>32</v>
      </c>
      <c r="F13" s="1">
        <v>8</v>
      </c>
      <c r="G13" s="1">
        <v>80</v>
      </c>
      <c r="H13" s="1" t="s">
        <v>33</v>
      </c>
      <c r="I13" s="1" t="s">
        <v>34</v>
      </c>
      <c r="J13" s="3" t="s">
        <v>16</v>
      </c>
    </row>
    <row r="14" spans="1:10" ht="15.75" x14ac:dyDescent="0.25">
      <c r="A14" s="2">
        <v>45383</v>
      </c>
      <c r="B14" s="1" t="s">
        <v>10</v>
      </c>
      <c r="C14" s="1" t="s">
        <v>18</v>
      </c>
      <c r="D14" s="1" t="s">
        <v>19</v>
      </c>
      <c r="E14" s="1" t="s">
        <v>13</v>
      </c>
      <c r="F14" s="1">
        <v>20</v>
      </c>
      <c r="G14" s="1">
        <v>25</v>
      </c>
      <c r="H14" s="1" t="s">
        <v>14</v>
      </c>
      <c r="I14" s="1" t="s">
        <v>15</v>
      </c>
      <c r="J14" s="3" t="s">
        <v>16</v>
      </c>
    </row>
    <row r="15" spans="1:10" ht="15.75" x14ac:dyDescent="0.25">
      <c r="A15" s="2">
        <v>45390</v>
      </c>
      <c r="B15" s="1" t="s">
        <v>17</v>
      </c>
      <c r="C15" s="1" t="s">
        <v>36</v>
      </c>
      <c r="D15" s="1" t="s">
        <v>12</v>
      </c>
      <c r="E15" s="1" t="s">
        <v>20</v>
      </c>
      <c r="F15" s="1">
        <v>3</v>
      </c>
      <c r="G15" s="1">
        <v>400</v>
      </c>
      <c r="H15" s="1" t="s">
        <v>21</v>
      </c>
      <c r="I15" s="1" t="s">
        <v>22</v>
      </c>
      <c r="J15" s="3" t="s">
        <v>23</v>
      </c>
    </row>
    <row r="16" spans="1:10" ht="15.75" x14ac:dyDescent="0.25">
      <c r="A16" s="2">
        <v>45397</v>
      </c>
      <c r="B16" s="1" t="s">
        <v>24</v>
      </c>
      <c r="C16" s="1" t="s">
        <v>31</v>
      </c>
      <c r="D16" s="1" t="s">
        <v>12</v>
      </c>
      <c r="E16" s="1" t="s">
        <v>26</v>
      </c>
      <c r="F16" s="1">
        <v>2</v>
      </c>
      <c r="G16" s="1">
        <v>300</v>
      </c>
      <c r="H16" s="1" t="s">
        <v>27</v>
      </c>
      <c r="I16" s="1" t="s">
        <v>28</v>
      </c>
      <c r="J16" s="3" t="s">
        <v>29</v>
      </c>
    </row>
    <row r="17" spans="1:10" ht="15.75" x14ac:dyDescent="0.25">
      <c r="A17" s="2">
        <v>45404</v>
      </c>
      <c r="B17" s="1" t="s">
        <v>30</v>
      </c>
      <c r="C17" s="1" t="s">
        <v>11</v>
      </c>
      <c r="D17" s="1" t="s">
        <v>12</v>
      </c>
      <c r="E17" s="1" t="s">
        <v>32</v>
      </c>
      <c r="F17" s="1">
        <v>3</v>
      </c>
      <c r="G17" s="1">
        <v>800</v>
      </c>
      <c r="H17" s="1" t="s">
        <v>33</v>
      </c>
      <c r="I17" s="1" t="s">
        <v>34</v>
      </c>
      <c r="J17" s="3" t="s">
        <v>16</v>
      </c>
    </row>
    <row r="18" spans="1:10" ht="15.75" x14ac:dyDescent="0.25">
      <c r="A18" s="2">
        <v>45415</v>
      </c>
      <c r="B18" s="1" t="s">
        <v>10</v>
      </c>
      <c r="C18" s="1" t="s">
        <v>25</v>
      </c>
      <c r="D18" s="1" t="s">
        <v>19</v>
      </c>
      <c r="E18" s="1" t="s">
        <v>13</v>
      </c>
      <c r="F18" s="1">
        <v>6</v>
      </c>
      <c r="G18" s="1">
        <v>45</v>
      </c>
      <c r="H18" s="1" t="s">
        <v>37</v>
      </c>
      <c r="I18" s="1" t="s">
        <v>15</v>
      </c>
      <c r="J18" s="3" t="s">
        <v>29</v>
      </c>
    </row>
    <row r="19" spans="1:10" ht="15.75" x14ac:dyDescent="0.25">
      <c r="A19" s="2">
        <v>45422</v>
      </c>
      <c r="B19" s="1" t="s">
        <v>17</v>
      </c>
      <c r="C19" s="1" t="s">
        <v>35</v>
      </c>
      <c r="D19" s="1" t="s">
        <v>19</v>
      </c>
      <c r="E19" s="1" t="s">
        <v>20</v>
      </c>
      <c r="F19" s="1">
        <v>9</v>
      </c>
      <c r="G19" s="1">
        <v>80</v>
      </c>
      <c r="H19" s="1" t="s">
        <v>21</v>
      </c>
      <c r="I19" s="1" t="s">
        <v>22</v>
      </c>
      <c r="J19" s="3" t="s">
        <v>23</v>
      </c>
    </row>
    <row r="20" spans="1:10" ht="15.75" x14ac:dyDescent="0.25">
      <c r="A20" s="2">
        <v>45429</v>
      </c>
      <c r="B20" s="1" t="s">
        <v>24</v>
      </c>
      <c r="C20" s="1" t="s">
        <v>18</v>
      </c>
      <c r="D20" s="1" t="s">
        <v>19</v>
      </c>
      <c r="E20" s="1" t="s">
        <v>26</v>
      </c>
      <c r="F20" s="1">
        <v>18</v>
      </c>
      <c r="G20" s="1">
        <v>25</v>
      </c>
      <c r="H20" s="1" t="s">
        <v>27</v>
      </c>
      <c r="I20" s="1" t="s">
        <v>28</v>
      </c>
      <c r="J20" s="3" t="s">
        <v>29</v>
      </c>
    </row>
    <row r="21" spans="1:10" ht="15.75" x14ac:dyDescent="0.25">
      <c r="A21" s="2">
        <v>45436</v>
      </c>
      <c r="B21" s="1" t="s">
        <v>30</v>
      </c>
      <c r="C21" s="1" t="s">
        <v>36</v>
      </c>
      <c r="D21" s="1" t="s">
        <v>12</v>
      </c>
      <c r="E21" s="1" t="s">
        <v>32</v>
      </c>
      <c r="F21" s="1">
        <v>4</v>
      </c>
      <c r="G21" s="1">
        <v>400</v>
      </c>
      <c r="H21" s="1" t="s">
        <v>33</v>
      </c>
      <c r="I21" s="1" t="s">
        <v>34</v>
      </c>
      <c r="J21" s="3" t="s">
        <v>16</v>
      </c>
    </row>
    <row r="22" spans="1:10" ht="15.75" x14ac:dyDescent="0.25">
      <c r="A22" s="2">
        <v>45445</v>
      </c>
      <c r="B22" s="1" t="s">
        <v>10</v>
      </c>
      <c r="C22" s="1" t="s">
        <v>31</v>
      </c>
      <c r="D22" s="1" t="s">
        <v>12</v>
      </c>
      <c r="E22" s="1" t="s">
        <v>13</v>
      </c>
      <c r="F22" s="1">
        <v>2</v>
      </c>
      <c r="G22" s="1">
        <v>300</v>
      </c>
      <c r="H22" s="1" t="s">
        <v>14</v>
      </c>
      <c r="I22" s="1" t="s">
        <v>15</v>
      </c>
      <c r="J22" s="3" t="s">
        <v>16</v>
      </c>
    </row>
    <row r="23" spans="1:10" ht="15.75" x14ac:dyDescent="0.25">
      <c r="A23" s="2">
        <v>45452</v>
      </c>
      <c r="B23" s="1" t="s">
        <v>17</v>
      </c>
      <c r="C23" s="1" t="s">
        <v>11</v>
      </c>
      <c r="D23" s="1" t="s">
        <v>12</v>
      </c>
      <c r="E23" s="1" t="s">
        <v>20</v>
      </c>
      <c r="F23" s="1">
        <v>2</v>
      </c>
      <c r="G23" s="1">
        <v>800</v>
      </c>
      <c r="H23" s="1" t="s">
        <v>21</v>
      </c>
      <c r="I23" s="1" t="s">
        <v>22</v>
      </c>
      <c r="J23" s="3" t="s">
        <v>23</v>
      </c>
    </row>
    <row r="24" spans="1:10" ht="15.75" x14ac:dyDescent="0.25">
      <c r="A24" s="2">
        <v>45459</v>
      </c>
      <c r="B24" s="1" t="s">
        <v>24</v>
      </c>
      <c r="C24" s="1" t="s">
        <v>36</v>
      </c>
      <c r="D24" s="1" t="s">
        <v>12</v>
      </c>
      <c r="E24" s="1" t="s">
        <v>26</v>
      </c>
      <c r="F24" s="1">
        <v>5</v>
      </c>
      <c r="G24" s="1">
        <v>400</v>
      </c>
      <c r="H24" s="1" t="s">
        <v>27</v>
      </c>
      <c r="I24" s="1" t="s">
        <v>28</v>
      </c>
      <c r="J24" s="3" t="s">
        <v>29</v>
      </c>
    </row>
    <row r="25" spans="1:10" ht="15.75" x14ac:dyDescent="0.25">
      <c r="A25" s="2">
        <v>45466</v>
      </c>
      <c r="B25" s="1" t="s">
        <v>30</v>
      </c>
      <c r="C25" s="1" t="s">
        <v>18</v>
      </c>
      <c r="D25" s="1" t="s">
        <v>19</v>
      </c>
      <c r="E25" s="1" t="s">
        <v>32</v>
      </c>
      <c r="F25" s="1">
        <v>25</v>
      </c>
      <c r="G25" s="1">
        <v>25</v>
      </c>
      <c r="H25" s="1" t="s">
        <v>33</v>
      </c>
      <c r="I25" s="1" t="s">
        <v>34</v>
      </c>
      <c r="J25" s="3" t="s">
        <v>16</v>
      </c>
    </row>
    <row r="26" spans="1:10" ht="15.75" x14ac:dyDescent="0.25">
      <c r="A26" s="2">
        <v>45474</v>
      </c>
      <c r="B26" s="1" t="s">
        <v>10</v>
      </c>
      <c r="C26" s="1" t="s">
        <v>35</v>
      </c>
      <c r="D26" s="1" t="s">
        <v>19</v>
      </c>
      <c r="E26" s="1" t="s">
        <v>13</v>
      </c>
      <c r="F26" s="1">
        <v>12</v>
      </c>
      <c r="G26" s="1">
        <v>80</v>
      </c>
      <c r="H26" s="1" t="s">
        <v>37</v>
      </c>
      <c r="I26" s="1" t="s">
        <v>15</v>
      </c>
      <c r="J26" s="3" t="s">
        <v>29</v>
      </c>
    </row>
    <row r="27" spans="1:10" ht="15.75" x14ac:dyDescent="0.25">
      <c r="A27" s="2">
        <v>45481</v>
      </c>
      <c r="B27" s="1" t="s">
        <v>17</v>
      </c>
      <c r="C27" s="1" t="s">
        <v>31</v>
      </c>
      <c r="D27" s="1" t="s">
        <v>12</v>
      </c>
      <c r="E27" s="1" t="s">
        <v>20</v>
      </c>
      <c r="F27" s="1">
        <v>1</v>
      </c>
      <c r="G27" s="1">
        <v>300</v>
      </c>
      <c r="H27" s="1" t="s">
        <v>21</v>
      </c>
      <c r="I27" s="1" t="s">
        <v>22</v>
      </c>
      <c r="J27" s="3" t="s">
        <v>23</v>
      </c>
    </row>
    <row r="28" spans="1:10" ht="15.75" x14ac:dyDescent="0.25">
      <c r="A28" s="2">
        <v>45488</v>
      </c>
      <c r="B28" s="1" t="s">
        <v>24</v>
      </c>
      <c r="C28" s="1" t="s">
        <v>11</v>
      </c>
      <c r="D28" s="1" t="s">
        <v>12</v>
      </c>
      <c r="E28" s="1" t="s">
        <v>26</v>
      </c>
      <c r="F28" s="1">
        <v>3</v>
      </c>
      <c r="G28" s="1">
        <v>800</v>
      </c>
      <c r="H28" s="1" t="s">
        <v>27</v>
      </c>
      <c r="I28" s="1" t="s">
        <v>28</v>
      </c>
      <c r="J28" s="3" t="s">
        <v>29</v>
      </c>
    </row>
    <row r="29" spans="1:10" ht="15.75" x14ac:dyDescent="0.25">
      <c r="A29" s="2">
        <v>45495</v>
      </c>
      <c r="B29" s="1" t="s">
        <v>30</v>
      </c>
      <c r="C29" s="1" t="s">
        <v>25</v>
      </c>
      <c r="D29" s="1" t="s">
        <v>19</v>
      </c>
      <c r="E29" s="1" t="s">
        <v>32</v>
      </c>
      <c r="F29" s="1">
        <v>5</v>
      </c>
      <c r="G29" s="1">
        <v>45</v>
      </c>
      <c r="H29" s="1" t="s">
        <v>33</v>
      </c>
      <c r="I29" s="1" t="s">
        <v>34</v>
      </c>
      <c r="J29" s="3" t="s">
        <v>16</v>
      </c>
    </row>
    <row r="30" spans="1:10" ht="15.75" x14ac:dyDescent="0.25">
      <c r="A30" s="2">
        <v>45505</v>
      </c>
      <c r="B30" s="1" t="s">
        <v>10</v>
      </c>
      <c r="C30" s="1" t="s">
        <v>18</v>
      </c>
      <c r="D30" s="1" t="s">
        <v>19</v>
      </c>
      <c r="E30" s="1" t="s">
        <v>13</v>
      </c>
      <c r="F30" s="1">
        <v>30</v>
      </c>
      <c r="G30" s="1">
        <v>25</v>
      </c>
      <c r="H30" s="1" t="s">
        <v>14</v>
      </c>
      <c r="I30" s="1" t="s">
        <v>15</v>
      </c>
      <c r="J30" s="3" t="s">
        <v>16</v>
      </c>
    </row>
    <row r="31" spans="1:10" ht="15.75" x14ac:dyDescent="0.25">
      <c r="A31" s="4">
        <v>45512</v>
      </c>
      <c r="B31" s="5" t="s">
        <v>17</v>
      </c>
      <c r="C31" s="5" t="s">
        <v>36</v>
      </c>
      <c r="D31" s="5" t="s">
        <v>12</v>
      </c>
      <c r="E31" s="5" t="s">
        <v>20</v>
      </c>
      <c r="F31" s="5">
        <v>2</v>
      </c>
      <c r="G31" s="5">
        <v>400</v>
      </c>
      <c r="H31" s="5" t="s">
        <v>21</v>
      </c>
      <c r="I31" s="5" t="s">
        <v>22</v>
      </c>
      <c r="J31" s="6" t="s">
        <v>23</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8EFF-9F0F-498B-8B6B-7D003056B993}">
  <dimension ref="A1:P31"/>
  <sheetViews>
    <sheetView workbookViewId="0">
      <selection activeCell="D1" sqref="D1"/>
    </sheetView>
  </sheetViews>
  <sheetFormatPr defaultRowHeight="15" x14ac:dyDescent="0.25"/>
  <cols>
    <col min="1" max="1" width="10.7109375" style="12" bestFit="1" customWidth="1"/>
    <col min="2" max="2" width="12.28515625" bestFit="1" customWidth="1"/>
    <col min="3" max="3" width="13.42578125" bestFit="1" customWidth="1"/>
    <col min="4" max="4" width="14.28515625" bestFit="1" customWidth="1"/>
    <col min="5" max="5" width="17.140625" bestFit="1" customWidth="1"/>
    <col min="6" max="6" width="10.5703125" bestFit="1" customWidth="1"/>
    <col min="7" max="7" width="10.42578125" style="20" bestFit="1" customWidth="1"/>
    <col min="8" max="8" width="22" bestFit="1" customWidth="1"/>
    <col min="9" max="10" width="19.85546875" bestFit="1" customWidth="1"/>
    <col min="11" max="11" width="16.5703125" style="20" bestFit="1" customWidth="1"/>
    <col min="12" max="12" width="11.140625" style="20" bestFit="1" customWidth="1"/>
    <col min="13" max="13" width="22.5703125" bestFit="1" customWidth="1"/>
    <col min="14" max="14" width="17.140625" style="20" bestFit="1" customWidth="1"/>
    <col min="15" max="15" width="13.28515625" bestFit="1" customWidth="1"/>
    <col min="16" max="16" width="19.28515625" bestFit="1" customWidth="1"/>
  </cols>
  <sheetData>
    <row r="1" spans="1:16" ht="15.75" x14ac:dyDescent="0.25">
      <c r="A1" s="13" t="s">
        <v>0</v>
      </c>
      <c r="B1" s="7" t="s">
        <v>1</v>
      </c>
      <c r="C1" s="7" t="s">
        <v>2</v>
      </c>
      <c r="D1" s="7" t="s">
        <v>3</v>
      </c>
      <c r="E1" s="7" t="s">
        <v>4</v>
      </c>
      <c r="F1" s="7" t="s">
        <v>5</v>
      </c>
      <c r="G1" s="18" t="s">
        <v>6</v>
      </c>
      <c r="H1" s="7" t="s">
        <v>7</v>
      </c>
      <c r="I1" s="7" t="s">
        <v>8</v>
      </c>
      <c r="J1" s="8" t="s">
        <v>9</v>
      </c>
      <c r="K1" s="18" t="s">
        <v>38</v>
      </c>
      <c r="L1" s="18" t="s">
        <v>39</v>
      </c>
      <c r="M1" s="7" t="s">
        <v>40</v>
      </c>
      <c r="N1" s="18" t="s">
        <v>41</v>
      </c>
      <c r="O1" s="7" t="s">
        <v>42</v>
      </c>
      <c r="P1" s="7" t="s">
        <v>43</v>
      </c>
    </row>
    <row r="2" spans="1:16" ht="15.75" x14ac:dyDescent="0.25">
      <c r="A2" s="9">
        <v>45296</v>
      </c>
      <c r="B2" s="10" t="s">
        <v>10</v>
      </c>
      <c r="C2" s="10" t="s">
        <v>11</v>
      </c>
      <c r="D2" s="10" t="s">
        <v>12</v>
      </c>
      <c r="E2" s="10" t="s">
        <v>13</v>
      </c>
      <c r="F2" s="10">
        <v>5</v>
      </c>
      <c r="G2" s="19">
        <v>800</v>
      </c>
      <c r="H2" s="10" t="s">
        <v>14</v>
      </c>
      <c r="I2" s="10" t="s">
        <v>15</v>
      </c>
      <c r="J2" s="10" t="s">
        <v>16</v>
      </c>
      <c r="K2" s="19">
        <f t="shared" ref="K2:K31" si="0">F2*G2</f>
        <v>4000</v>
      </c>
      <c r="L2" s="19">
        <f>IF(D2="Electronics", K2*0.4, K2*0.3)</f>
        <v>1600</v>
      </c>
      <c r="M2" s="11" t="str">
        <f>IF(K2&gt;2000, "Yes", "No")</f>
        <v>Yes</v>
      </c>
      <c r="N2" s="19">
        <f t="shared" ref="N2:N31" si="1">L2*0.1</f>
        <v>160</v>
      </c>
      <c r="O2" s="11" t="str">
        <f t="shared" ref="O2:O31" si="2">"Q"&amp;ROUNDUP(MONTH(A2)/3,0)</f>
        <v>Q1</v>
      </c>
      <c r="P2" s="11" t="str">
        <f t="shared" ref="P2:P31" si="3">TEXT(A2,"MMMM")</f>
        <v>January</v>
      </c>
    </row>
    <row r="3" spans="1:16" ht="15.75" x14ac:dyDescent="0.25">
      <c r="A3" s="9">
        <v>45303</v>
      </c>
      <c r="B3" s="10" t="s">
        <v>17</v>
      </c>
      <c r="C3" s="10" t="s">
        <v>18</v>
      </c>
      <c r="D3" s="10" t="s">
        <v>19</v>
      </c>
      <c r="E3" s="10" t="s">
        <v>20</v>
      </c>
      <c r="F3" s="10">
        <v>12</v>
      </c>
      <c r="G3" s="19">
        <v>25</v>
      </c>
      <c r="H3" s="10" t="s">
        <v>21</v>
      </c>
      <c r="I3" s="10" t="s">
        <v>22</v>
      </c>
      <c r="J3" s="10" t="s">
        <v>23</v>
      </c>
      <c r="K3" s="19">
        <f t="shared" si="0"/>
        <v>300</v>
      </c>
      <c r="L3" s="19">
        <f>IF(D3="Electronics", K3*0.4, K3*0.3)</f>
        <v>90</v>
      </c>
      <c r="M3" s="10" t="str">
        <f t="shared" ref="M3:M31" si="4">IF(K3&gt;2000, "Yes", "No")</f>
        <v>No</v>
      </c>
      <c r="N3" s="19">
        <f t="shared" si="1"/>
        <v>9</v>
      </c>
      <c r="O3" s="10" t="str">
        <f t="shared" si="2"/>
        <v>Q1</v>
      </c>
      <c r="P3" s="10" t="str">
        <f t="shared" si="3"/>
        <v>January</v>
      </c>
    </row>
    <row r="4" spans="1:16" ht="15.75" x14ac:dyDescent="0.25">
      <c r="A4" s="9">
        <v>45309</v>
      </c>
      <c r="B4" s="10" t="s">
        <v>24</v>
      </c>
      <c r="C4" s="10" t="s">
        <v>25</v>
      </c>
      <c r="D4" s="10" t="s">
        <v>19</v>
      </c>
      <c r="E4" s="10" t="s">
        <v>26</v>
      </c>
      <c r="F4" s="10">
        <v>8</v>
      </c>
      <c r="G4" s="19">
        <v>45</v>
      </c>
      <c r="H4" s="10" t="s">
        <v>27</v>
      </c>
      <c r="I4" s="10" t="s">
        <v>28</v>
      </c>
      <c r="J4" s="10" t="s">
        <v>29</v>
      </c>
      <c r="K4" s="19">
        <f t="shared" si="0"/>
        <v>360</v>
      </c>
      <c r="L4" s="19">
        <f t="shared" ref="L4:L31" si="5">IF(D4="Electronics", K4*0.4, K4*0.3)</f>
        <v>108</v>
      </c>
      <c r="M4" s="10" t="str">
        <f t="shared" si="4"/>
        <v>No</v>
      </c>
      <c r="N4" s="19">
        <f t="shared" si="1"/>
        <v>10.8</v>
      </c>
      <c r="O4" s="10" t="str">
        <f t="shared" si="2"/>
        <v>Q1</v>
      </c>
      <c r="P4" s="10" t="str">
        <f t="shared" si="3"/>
        <v>January</v>
      </c>
    </row>
    <row r="5" spans="1:16" ht="15.75" x14ac:dyDescent="0.25">
      <c r="A5" s="9">
        <v>45316</v>
      </c>
      <c r="B5" s="10" t="s">
        <v>30</v>
      </c>
      <c r="C5" s="10" t="s">
        <v>31</v>
      </c>
      <c r="D5" s="10" t="s">
        <v>12</v>
      </c>
      <c r="E5" s="10" t="s">
        <v>32</v>
      </c>
      <c r="F5" s="10">
        <v>3</v>
      </c>
      <c r="G5" s="19">
        <v>300</v>
      </c>
      <c r="H5" s="10" t="s">
        <v>33</v>
      </c>
      <c r="I5" s="10" t="s">
        <v>34</v>
      </c>
      <c r="J5" s="10" t="s">
        <v>16</v>
      </c>
      <c r="K5" s="19">
        <f t="shared" si="0"/>
        <v>900</v>
      </c>
      <c r="L5" s="19">
        <f t="shared" si="5"/>
        <v>360</v>
      </c>
      <c r="M5" s="10" t="str">
        <f t="shared" si="4"/>
        <v>No</v>
      </c>
      <c r="N5" s="19">
        <f t="shared" si="1"/>
        <v>36</v>
      </c>
      <c r="O5" s="10" t="str">
        <f t="shared" si="2"/>
        <v>Q1</v>
      </c>
      <c r="P5" s="10" t="str">
        <f t="shared" si="3"/>
        <v>January</v>
      </c>
    </row>
    <row r="6" spans="1:16" ht="15.75" x14ac:dyDescent="0.25">
      <c r="A6" s="9">
        <v>45324</v>
      </c>
      <c r="B6" s="10" t="s">
        <v>10</v>
      </c>
      <c r="C6" s="10" t="s">
        <v>11</v>
      </c>
      <c r="D6" s="10" t="s">
        <v>12</v>
      </c>
      <c r="E6" s="10" t="s">
        <v>13</v>
      </c>
      <c r="F6" s="10">
        <v>2</v>
      </c>
      <c r="G6" s="19">
        <v>800</v>
      </c>
      <c r="H6" s="10" t="s">
        <v>14</v>
      </c>
      <c r="I6" s="10" t="s">
        <v>15</v>
      </c>
      <c r="J6" s="10" t="s">
        <v>16</v>
      </c>
      <c r="K6" s="19">
        <f t="shared" si="0"/>
        <v>1600</v>
      </c>
      <c r="L6" s="19">
        <f t="shared" si="5"/>
        <v>640</v>
      </c>
      <c r="M6" s="10" t="str">
        <f t="shared" si="4"/>
        <v>No</v>
      </c>
      <c r="N6" s="19">
        <f t="shared" si="1"/>
        <v>64</v>
      </c>
      <c r="O6" s="10" t="str">
        <f t="shared" si="2"/>
        <v>Q1</v>
      </c>
      <c r="P6" s="10" t="str">
        <f t="shared" si="3"/>
        <v>February</v>
      </c>
    </row>
    <row r="7" spans="1:16" ht="15.75" x14ac:dyDescent="0.25">
      <c r="A7" s="9">
        <v>45331</v>
      </c>
      <c r="B7" s="10" t="s">
        <v>17</v>
      </c>
      <c r="C7" s="10" t="s">
        <v>18</v>
      </c>
      <c r="D7" s="10" t="s">
        <v>19</v>
      </c>
      <c r="E7" s="10" t="s">
        <v>20</v>
      </c>
      <c r="F7" s="10">
        <v>15</v>
      </c>
      <c r="G7" s="19">
        <v>25</v>
      </c>
      <c r="H7" s="10" t="s">
        <v>21</v>
      </c>
      <c r="I7" s="10" t="s">
        <v>22</v>
      </c>
      <c r="J7" s="10" t="s">
        <v>23</v>
      </c>
      <c r="K7" s="19">
        <f t="shared" si="0"/>
        <v>375</v>
      </c>
      <c r="L7" s="19">
        <f t="shared" si="5"/>
        <v>112.5</v>
      </c>
      <c r="M7" s="10" t="str">
        <f t="shared" si="4"/>
        <v>No</v>
      </c>
      <c r="N7" s="19">
        <f t="shared" si="1"/>
        <v>11.25</v>
      </c>
      <c r="O7" s="10" t="str">
        <f t="shared" si="2"/>
        <v>Q1</v>
      </c>
      <c r="P7" s="10" t="str">
        <f t="shared" si="3"/>
        <v>February</v>
      </c>
    </row>
    <row r="8" spans="1:16" ht="15.75" x14ac:dyDescent="0.25">
      <c r="A8" s="9">
        <v>45338</v>
      </c>
      <c r="B8" s="10" t="s">
        <v>24</v>
      </c>
      <c r="C8" s="10" t="s">
        <v>35</v>
      </c>
      <c r="D8" s="10" t="s">
        <v>19</v>
      </c>
      <c r="E8" s="10" t="s">
        <v>26</v>
      </c>
      <c r="F8" s="10">
        <v>10</v>
      </c>
      <c r="G8" s="19">
        <v>80</v>
      </c>
      <c r="H8" s="10" t="s">
        <v>27</v>
      </c>
      <c r="I8" s="10" t="s">
        <v>28</v>
      </c>
      <c r="J8" s="10" t="s">
        <v>29</v>
      </c>
      <c r="K8" s="19">
        <f t="shared" si="0"/>
        <v>800</v>
      </c>
      <c r="L8" s="19">
        <f t="shared" si="5"/>
        <v>240</v>
      </c>
      <c r="M8" s="10" t="str">
        <f t="shared" si="4"/>
        <v>No</v>
      </c>
      <c r="N8" s="19">
        <f t="shared" si="1"/>
        <v>24</v>
      </c>
      <c r="O8" s="10" t="str">
        <f t="shared" si="2"/>
        <v>Q1</v>
      </c>
      <c r="P8" s="10" t="str">
        <f t="shared" si="3"/>
        <v>February</v>
      </c>
    </row>
    <row r="9" spans="1:16" ht="15.75" x14ac:dyDescent="0.25">
      <c r="A9" s="9">
        <v>45345</v>
      </c>
      <c r="B9" s="10" t="s">
        <v>30</v>
      </c>
      <c r="C9" s="10" t="s">
        <v>31</v>
      </c>
      <c r="D9" s="10" t="s">
        <v>12</v>
      </c>
      <c r="E9" s="10" t="s">
        <v>32</v>
      </c>
      <c r="F9" s="10">
        <v>4</v>
      </c>
      <c r="G9" s="19">
        <v>300</v>
      </c>
      <c r="H9" s="10" t="s">
        <v>33</v>
      </c>
      <c r="I9" s="10" t="s">
        <v>34</v>
      </c>
      <c r="J9" s="10" t="s">
        <v>16</v>
      </c>
      <c r="K9" s="19">
        <f t="shared" si="0"/>
        <v>1200</v>
      </c>
      <c r="L9" s="19">
        <f t="shared" si="5"/>
        <v>480</v>
      </c>
      <c r="M9" s="10" t="str">
        <f t="shared" si="4"/>
        <v>No</v>
      </c>
      <c r="N9" s="19">
        <f t="shared" si="1"/>
        <v>48</v>
      </c>
      <c r="O9" s="10" t="str">
        <f t="shared" si="2"/>
        <v>Q1</v>
      </c>
      <c r="P9" s="10" t="str">
        <f t="shared" si="3"/>
        <v>February</v>
      </c>
    </row>
    <row r="10" spans="1:16" ht="15.75" x14ac:dyDescent="0.25">
      <c r="A10" s="9">
        <v>45353</v>
      </c>
      <c r="B10" s="10" t="s">
        <v>10</v>
      </c>
      <c r="C10" s="10" t="s">
        <v>36</v>
      </c>
      <c r="D10" s="10" t="s">
        <v>12</v>
      </c>
      <c r="E10" s="10" t="s">
        <v>13</v>
      </c>
      <c r="F10" s="10">
        <v>6</v>
      </c>
      <c r="G10" s="19">
        <v>400</v>
      </c>
      <c r="H10" s="10" t="s">
        <v>37</v>
      </c>
      <c r="I10" s="10" t="s">
        <v>15</v>
      </c>
      <c r="J10" s="10" t="s">
        <v>29</v>
      </c>
      <c r="K10" s="19">
        <f t="shared" si="0"/>
        <v>2400</v>
      </c>
      <c r="L10" s="19">
        <f t="shared" si="5"/>
        <v>960</v>
      </c>
      <c r="M10" s="10" t="str">
        <f t="shared" si="4"/>
        <v>Yes</v>
      </c>
      <c r="N10" s="19">
        <f t="shared" si="1"/>
        <v>96</v>
      </c>
      <c r="O10" s="10" t="str">
        <f t="shared" si="2"/>
        <v>Q1</v>
      </c>
      <c r="P10" s="10" t="str">
        <f t="shared" si="3"/>
        <v>March</v>
      </c>
    </row>
    <row r="11" spans="1:16" ht="15.75" x14ac:dyDescent="0.25">
      <c r="A11" s="9">
        <v>45360</v>
      </c>
      <c r="B11" s="10" t="s">
        <v>17</v>
      </c>
      <c r="C11" s="10" t="s">
        <v>25</v>
      </c>
      <c r="D11" s="10" t="s">
        <v>19</v>
      </c>
      <c r="E11" s="10" t="s">
        <v>20</v>
      </c>
      <c r="F11" s="10">
        <v>7</v>
      </c>
      <c r="G11" s="19">
        <v>45</v>
      </c>
      <c r="H11" s="10" t="s">
        <v>21</v>
      </c>
      <c r="I11" s="10" t="s">
        <v>22</v>
      </c>
      <c r="J11" s="10" t="s">
        <v>23</v>
      </c>
      <c r="K11" s="19">
        <f t="shared" si="0"/>
        <v>315</v>
      </c>
      <c r="L11" s="19">
        <f t="shared" si="5"/>
        <v>94.5</v>
      </c>
      <c r="M11" s="10" t="str">
        <f t="shared" si="4"/>
        <v>No</v>
      </c>
      <c r="N11" s="19">
        <f t="shared" si="1"/>
        <v>9.4500000000000011</v>
      </c>
      <c r="O11" s="10" t="str">
        <f t="shared" si="2"/>
        <v>Q1</v>
      </c>
      <c r="P11" s="10" t="str">
        <f t="shared" si="3"/>
        <v>March</v>
      </c>
    </row>
    <row r="12" spans="1:16" ht="15.75" x14ac:dyDescent="0.25">
      <c r="A12" s="9">
        <v>45367</v>
      </c>
      <c r="B12" s="10" t="s">
        <v>24</v>
      </c>
      <c r="C12" s="10" t="s">
        <v>11</v>
      </c>
      <c r="D12" s="10" t="s">
        <v>12</v>
      </c>
      <c r="E12" s="10" t="s">
        <v>26</v>
      </c>
      <c r="F12" s="10">
        <v>4</v>
      </c>
      <c r="G12" s="19">
        <v>800</v>
      </c>
      <c r="H12" s="10" t="s">
        <v>27</v>
      </c>
      <c r="I12" s="10" t="s">
        <v>28</v>
      </c>
      <c r="J12" s="10" t="s">
        <v>29</v>
      </c>
      <c r="K12" s="19">
        <f t="shared" si="0"/>
        <v>3200</v>
      </c>
      <c r="L12" s="19">
        <f t="shared" si="5"/>
        <v>1280</v>
      </c>
      <c r="M12" s="10" t="str">
        <f t="shared" si="4"/>
        <v>Yes</v>
      </c>
      <c r="N12" s="19">
        <f t="shared" si="1"/>
        <v>128</v>
      </c>
      <c r="O12" s="10" t="str">
        <f t="shared" si="2"/>
        <v>Q1</v>
      </c>
      <c r="P12" s="10" t="str">
        <f t="shared" si="3"/>
        <v>March</v>
      </c>
    </row>
    <row r="13" spans="1:16" ht="15.75" x14ac:dyDescent="0.25">
      <c r="A13" s="9">
        <v>45374</v>
      </c>
      <c r="B13" s="10" t="s">
        <v>30</v>
      </c>
      <c r="C13" s="10" t="s">
        <v>35</v>
      </c>
      <c r="D13" s="10" t="s">
        <v>19</v>
      </c>
      <c r="E13" s="10" t="s">
        <v>32</v>
      </c>
      <c r="F13" s="10">
        <v>8</v>
      </c>
      <c r="G13" s="19">
        <v>80</v>
      </c>
      <c r="H13" s="10" t="s">
        <v>33</v>
      </c>
      <c r="I13" s="10" t="s">
        <v>34</v>
      </c>
      <c r="J13" s="10" t="s">
        <v>16</v>
      </c>
      <c r="K13" s="19">
        <f t="shared" si="0"/>
        <v>640</v>
      </c>
      <c r="L13" s="19">
        <f t="shared" si="5"/>
        <v>192</v>
      </c>
      <c r="M13" s="10" t="str">
        <f t="shared" si="4"/>
        <v>No</v>
      </c>
      <c r="N13" s="19">
        <f t="shared" si="1"/>
        <v>19.200000000000003</v>
      </c>
      <c r="O13" s="10" t="str">
        <f t="shared" si="2"/>
        <v>Q1</v>
      </c>
      <c r="P13" s="10" t="str">
        <f t="shared" si="3"/>
        <v>March</v>
      </c>
    </row>
    <row r="14" spans="1:16" ht="15.75" x14ac:dyDescent="0.25">
      <c r="A14" s="9">
        <v>45383</v>
      </c>
      <c r="B14" s="10" t="s">
        <v>10</v>
      </c>
      <c r="C14" s="10" t="s">
        <v>18</v>
      </c>
      <c r="D14" s="10" t="s">
        <v>19</v>
      </c>
      <c r="E14" s="10" t="s">
        <v>13</v>
      </c>
      <c r="F14" s="10">
        <v>20</v>
      </c>
      <c r="G14" s="19">
        <v>25</v>
      </c>
      <c r="H14" s="10" t="s">
        <v>14</v>
      </c>
      <c r="I14" s="10" t="s">
        <v>15</v>
      </c>
      <c r="J14" s="10" t="s">
        <v>16</v>
      </c>
      <c r="K14" s="19">
        <f t="shared" si="0"/>
        <v>500</v>
      </c>
      <c r="L14" s="19">
        <f t="shared" si="5"/>
        <v>150</v>
      </c>
      <c r="M14" s="10" t="str">
        <f t="shared" si="4"/>
        <v>No</v>
      </c>
      <c r="N14" s="19">
        <f t="shared" si="1"/>
        <v>15</v>
      </c>
      <c r="O14" s="10" t="str">
        <f t="shared" si="2"/>
        <v>Q2</v>
      </c>
      <c r="P14" s="10" t="str">
        <f t="shared" si="3"/>
        <v>April</v>
      </c>
    </row>
    <row r="15" spans="1:16" ht="15.75" x14ac:dyDescent="0.25">
      <c r="A15" s="9">
        <v>45390</v>
      </c>
      <c r="B15" s="10" t="s">
        <v>17</v>
      </c>
      <c r="C15" s="10" t="s">
        <v>36</v>
      </c>
      <c r="D15" s="10" t="s">
        <v>12</v>
      </c>
      <c r="E15" s="10" t="s">
        <v>20</v>
      </c>
      <c r="F15" s="10">
        <v>3</v>
      </c>
      <c r="G15" s="19">
        <v>400</v>
      </c>
      <c r="H15" s="10" t="s">
        <v>21</v>
      </c>
      <c r="I15" s="10" t="s">
        <v>22</v>
      </c>
      <c r="J15" s="10" t="s">
        <v>23</v>
      </c>
      <c r="K15" s="19">
        <f t="shared" si="0"/>
        <v>1200</v>
      </c>
      <c r="L15" s="19">
        <f t="shared" si="5"/>
        <v>480</v>
      </c>
      <c r="M15" s="10" t="str">
        <f t="shared" si="4"/>
        <v>No</v>
      </c>
      <c r="N15" s="19">
        <f t="shared" si="1"/>
        <v>48</v>
      </c>
      <c r="O15" s="10" t="str">
        <f t="shared" si="2"/>
        <v>Q2</v>
      </c>
      <c r="P15" s="10" t="str">
        <f t="shared" si="3"/>
        <v>April</v>
      </c>
    </row>
    <row r="16" spans="1:16" ht="15.75" x14ac:dyDescent="0.25">
      <c r="A16" s="9">
        <v>45397</v>
      </c>
      <c r="B16" s="10" t="s">
        <v>24</v>
      </c>
      <c r="C16" s="10" t="s">
        <v>31</v>
      </c>
      <c r="D16" s="10" t="s">
        <v>12</v>
      </c>
      <c r="E16" s="10" t="s">
        <v>26</v>
      </c>
      <c r="F16" s="10">
        <v>2</v>
      </c>
      <c r="G16" s="19">
        <v>300</v>
      </c>
      <c r="H16" s="10" t="s">
        <v>27</v>
      </c>
      <c r="I16" s="10" t="s">
        <v>28</v>
      </c>
      <c r="J16" s="10" t="s">
        <v>29</v>
      </c>
      <c r="K16" s="19">
        <f t="shared" si="0"/>
        <v>600</v>
      </c>
      <c r="L16" s="19">
        <f t="shared" si="5"/>
        <v>240</v>
      </c>
      <c r="M16" s="10" t="str">
        <f t="shared" si="4"/>
        <v>No</v>
      </c>
      <c r="N16" s="19">
        <f t="shared" si="1"/>
        <v>24</v>
      </c>
      <c r="O16" s="10" t="str">
        <f t="shared" si="2"/>
        <v>Q2</v>
      </c>
      <c r="P16" s="10" t="str">
        <f t="shared" si="3"/>
        <v>April</v>
      </c>
    </row>
    <row r="17" spans="1:16" ht="15.75" x14ac:dyDescent="0.25">
      <c r="A17" s="9">
        <v>45404</v>
      </c>
      <c r="B17" s="10" t="s">
        <v>30</v>
      </c>
      <c r="C17" s="10" t="s">
        <v>11</v>
      </c>
      <c r="D17" s="10" t="s">
        <v>12</v>
      </c>
      <c r="E17" s="10" t="s">
        <v>32</v>
      </c>
      <c r="F17" s="10">
        <v>3</v>
      </c>
      <c r="G17" s="19">
        <v>800</v>
      </c>
      <c r="H17" s="10" t="s">
        <v>33</v>
      </c>
      <c r="I17" s="10" t="s">
        <v>34</v>
      </c>
      <c r="J17" s="10" t="s">
        <v>16</v>
      </c>
      <c r="K17" s="19">
        <f t="shared" si="0"/>
        <v>2400</v>
      </c>
      <c r="L17" s="19">
        <f t="shared" si="5"/>
        <v>960</v>
      </c>
      <c r="M17" s="10" t="str">
        <f t="shared" si="4"/>
        <v>Yes</v>
      </c>
      <c r="N17" s="19">
        <f t="shared" si="1"/>
        <v>96</v>
      </c>
      <c r="O17" s="10" t="str">
        <f t="shared" si="2"/>
        <v>Q2</v>
      </c>
      <c r="P17" s="10" t="str">
        <f t="shared" si="3"/>
        <v>April</v>
      </c>
    </row>
    <row r="18" spans="1:16" ht="15.75" x14ac:dyDescent="0.25">
      <c r="A18" s="9">
        <v>45415</v>
      </c>
      <c r="B18" s="10" t="s">
        <v>10</v>
      </c>
      <c r="C18" s="10" t="s">
        <v>25</v>
      </c>
      <c r="D18" s="10" t="s">
        <v>19</v>
      </c>
      <c r="E18" s="10" t="s">
        <v>13</v>
      </c>
      <c r="F18" s="10">
        <v>6</v>
      </c>
      <c r="G18" s="19">
        <v>45</v>
      </c>
      <c r="H18" s="10" t="s">
        <v>37</v>
      </c>
      <c r="I18" s="10" t="s">
        <v>15</v>
      </c>
      <c r="J18" s="10" t="s">
        <v>29</v>
      </c>
      <c r="K18" s="19">
        <f t="shared" si="0"/>
        <v>270</v>
      </c>
      <c r="L18" s="19">
        <f t="shared" si="5"/>
        <v>81</v>
      </c>
      <c r="M18" s="10" t="str">
        <f t="shared" si="4"/>
        <v>No</v>
      </c>
      <c r="N18" s="19">
        <f t="shared" si="1"/>
        <v>8.1</v>
      </c>
      <c r="O18" s="10" t="str">
        <f t="shared" si="2"/>
        <v>Q2</v>
      </c>
      <c r="P18" s="10" t="str">
        <f t="shared" si="3"/>
        <v>May</v>
      </c>
    </row>
    <row r="19" spans="1:16" ht="15.75" x14ac:dyDescent="0.25">
      <c r="A19" s="9">
        <v>45422</v>
      </c>
      <c r="B19" s="10" t="s">
        <v>17</v>
      </c>
      <c r="C19" s="10" t="s">
        <v>35</v>
      </c>
      <c r="D19" s="10" t="s">
        <v>19</v>
      </c>
      <c r="E19" s="10" t="s">
        <v>20</v>
      </c>
      <c r="F19" s="10">
        <v>9</v>
      </c>
      <c r="G19" s="19">
        <v>80</v>
      </c>
      <c r="H19" s="10" t="s">
        <v>21</v>
      </c>
      <c r="I19" s="10" t="s">
        <v>22</v>
      </c>
      <c r="J19" s="10" t="s">
        <v>23</v>
      </c>
      <c r="K19" s="19">
        <f t="shared" si="0"/>
        <v>720</v>
      </c>
      <c r="L19" s="19">
        <f t="shared" si="5"/>
        <v>216</v>
      </c>
      <c r="M19" s="10" t="str">
        <f t="shared" si="4"/>
        <v>No</v>
      </c>
      <c r="N19" s="19">
        <f t="shared" si="1"/>
        <v>21.6</v>
      </c>
      <c r="O19" s="10" t="str">
        <f t="shared" si="2"/>
        <v>Q2</v>
      </c>
      <c r="P19" s="10" t="str">
        <f t="shared" si="3"/>
        <v>May</v>
      </c>
    </row>
    <row r="20" spans="1:16" ht="15.75" x14ac:dyDescent="0.25">
      <c r="A20" s="9">
        <v>45429</v>
      </c>
      <c r="B20" s="10" t="s">
        <v>24</v>
      </c>
      <c r="C20" s="10" t="s">
        <v>18</v>
      </c>
      <c r="D20" s="10" t="s">
        <v>19</v>
      </c>
      <c r="E20" s="10" t="s">
        <v>26</v>
      </c>
      <c r="F20" s="10">
        <v>18</v>
      </c>
      <c r="G20" s="19">
        <v>25</v>
      </c>
      <c r="H20" s="10" t="s">
        <v>27</v>
      </c>
      <c r="I20" s="10" t="s">
        <v>28</v>
      </c>
      <c r="J20" s="10" t="s">
        <v>29</v>
      </c>
      <c r="K20" s="19">
        <f t="shared" si="0"/>
        <v>450</v>
      </c>
      <c r="L20" s="19">
        <f t="shared" si="5"/>
        <v>135</v>
      </c>
      <c r="M20" s="10" t="str">
        <f t="shared" si="4"/>
        <v>No</v>
      </c>
      <c r="N20" s="19">
        <f t="shared" si="1"/>
        <v>13.5</v>
      </c>
      <c r="O20" s="10" t="str">
        <f t="shared" si="2"/>
        <v>Q2</v>
      </c>
      <c r="P20" s="10" t="str">
        <f t="shared" si="3"/>
        <v>May</v>
      </c>
    </row>
    <row r="21" spans="1:16" ht="15.75" x14ac:dyDescent="0.25">
      <c r="A21" s="9">
        <v>45436</v>
      </c>
      <c r="B21" s="10" t="s">
        <v>30</v>
      </c>
      <c r="C21" s="10" t="s">
        <v>36</v>
      </c>
      <c r="D21" s="10" t="s">
        <v>12</v>
      </c>
      <c r="E21" s="10" t="s">
        <v>32</v>
      </c>
      <c r="F21" s="10">
        <v>4</v>
      </c>
      <c r="G21" s="19">
        <v>400</v>
      </c>
      <c r="H21" s="10" t="s">
        <v>33</v>
      </c>
      <c r="I21" s="10" t="s">
        <v>34</v>
      </c>
      <c r="J21" s="10" t="s">
        <v>16</v>
      </c>
      <c r="K21" s="19">
        <f t="shared" si="0"/>
        <v>1600</v>
      </c>
      <c r="L21" s="19">
        <f t="shared" si="5"/>
        <v>640</v>
      </c>
      <c r="M21" s="10" t="str">
        <f t="shared" si="4"/>
        <v>No</v>
      </c>
      <c r="N21" s="19">
        <f t="shared" si="1"/>
        <v>64</v>
      </c>
      <c r="O21" s="10" t="str">
        <f t="shared" si="2"/>
        <v>Q2</v>
      </c>
      <c r="P21" s="10" t="str">
        <f t="shared" si="3"/>
        <v>May</v>
      </c>
    </row>
    <row r="22" spans="1:16" ht="15.75" x14ac:dyDescent="0.25">
      <c r="A22" s="9">
        <v>45445</v>
      </c>
      <c r="B22" s="10" t="s">
        <v>10</v>
      </c>
      <c r="C22" s="10" t="s">
        <v>31</v>
      </c>
      <c r="D22" s="10" t="s">
        <v>12</v>
      </c>
      <c r="E22" s="10" t="s">
        <v>13</v>
      </c>
      <c r="F22" s="10">
        <v>2</v>
      </c>
      <c r="G22" s="19">
        <v>300</v>
      </c>
      <c r="H22" s="10" t="s">
        <v>14</v>
      </c>
      <c r="I22" s="10" t="s">
        <v>15</v>
      </c>
      <c r="J22" s="10" t="s">
        <v>16</v>
      </c>
      <c r="K22" s="19">
        <f t="shared" si="0"/>
        <v>600</v>
      </c>
      <c r="L22" s="19">
        <f t="shared" si="5"/>
        <v>240</v>
      </c>
      <c r="M22" s="10" t="str">
        <f t="shared" si="4"/>
        <v>No</v>
      </c>
      <c r="N22" s="19">
        <f t="shared" si="1"/>
        <v>24</v>
      </c>
      <c r="O22" s="10" t="str">
        <f t="shared" si="2"/>
        <v>Q2</v>
      </c>
      <c r="P22" s="10" t="str">
        <f t="shared" si="3"/>
        <v>June</v>
      </c>
    </row>
    <row r="23" spans="1:16" ht="15.75" x14ac:dyDescent="0.25">
      <c r="A23" s="9">
        <v>45452</v>
      </c>
      <c r="B23" s="10" t="s">
        <v>17</v>
      </c>
      <c r="C23" s="10" t="s">
        <v>11</v>
      </c>
      <c r="D23" s="10" t="s">
        <v>12</v>
      </c>
      <c r="E23" s="10" t="s">
        <v>20</v>
      </c>
      <c r="F23" s="10">
        <v>2</v>
      </c>
      <c r="G23" s="19">
        <v>800</v>
      </c>
      <c r="H23" s="10" t="s">
        <v>21</v>
      </c>
      <c r="I23" s="10" t="s">
        <v>22</v>
      </c>
      <c r="J23" s="10" t="s">
        <v>23</v>
      </c>
      <c r="K23" s="19">
        <f t="shared" si="0"/>
        <v>1600</v>
      </c>
      <c r="L23" s="19">
        <f t="shared" si="5"/>
        <v>640</v>
      </c>
      <c r="M23" s="10" t="str">
        <f t="shared" si="4"/>
        <v>No</v>
      </c>
      <c r="N23" s="19">
        <f t="shared" si="1"/>
        <v>64</v>
      </c>
      <c r="O23" s="10" t="str">
        <f t="shared" si="2"/>
        <v>Q2</v>
      </c>
      <c r="P23" s="10" t="str">
        <f t="shared" si="3"/>
        <v>June</v>
      </c>
    </row>
    <row r="24" spans="1:16" ht="15.75" x14ac:dyDescent="0.25">
      <c r="A24" s="9">
        <v>45459</v>
      </c>
      <c r="B24" s="10" t="s">
        <v>24</v>
      </c>
      <c r="C24" s="10" t="s">
        <v>36</v>
      </c>
      <c r="D24" s="10" t="s">
        <v>12</v>
      </c>
      <c r="E24" s="10" t="s">
        <v>26</v>
      </c>
      <c r="F24" s="10">
        <v>5</v>
      </c>
      <c r="G24" s="19">
        <v>400</v>
      </c>
      <c r="H24" s="10" t="s">
        <v>27</v>
      </c>
      <c r="I24" s="10" t="s">
        <v>28</v>
      </c>
      <c r="J24" s="10" t="s">
        <v>29</v>
      </c>
      <c r="K24" s="19">
        <f t="shared" si="0"/>
        <v>2000</v>
      </c>
      <c r="L24" s="19">
        <f t="shared" si="5"/>
        <v>800</v>
      </c>
      <c r="M24" s="10" t="str">
        <f t="shared" si="4"/>
        <v>No</v>
      </c>
      <c r="N24" s="19">
        <f t="shared" si="1"/>
        <v>80</v>
      </c>
      <c r="O24" s="10" t="str">
        <f t="shared" si="2"/>
        <v>Q2</v>
      </c>
      <c r="P24" s="10" t="str">
        <f t="shared" si="3"/>
        <v>June</v>
      </c>
    </row>
    <row r="25" spans="1:16" ht="15.75" x14ac:dyDescent="0.25">
      <c r="A25" s="9">
        <v>45466</v>
      </c>
      <c r="B25" s="10" t="s">
        <v>30</v>
      </c>
      <c r="C25" s="10" t="s">
        <v>18</v>
      </c>
      <c r="D25" s="10" t="s">
        <v>19</v>
      </c>
      <c r="E25" s="10" t="s">
        <v>32</v>
      </c>
      <c r="F25" s="10">
        <v>25</v>
      </c>
      <c r="G25" s="19">
        <v>25</v>
      </c>
      <c r="H25" s="10" t="s">
        <v>33</v>
      </c>
      <c r="I25" s="10" t="s">
        <v>34</v>
      </c>
      <c r="J25" s="10" t="s">
        <v>16</v>
      </c>
      <c r="K25" s="19">
        <f t="shared" si="0"/>
        <v>625</v>
      </c>
      <c r="L25" s="19">
        <f t="shared" si="5"/>
        <v>187.5</v>
      </c>
      <c r="M25" s="10" t="str">
        <f t="shared" si="4"/>
        <v>No</v>
      </c>
      <c r="N25" s="19">
        <f t="shared" si="1"/>
        <v>18.75</v>
      </c>
      <c r="O25" s="10" t="str">
        <f t="shared" si="2"/>
        <v>Q2</v>
      </c>
      <c r="P25" s="10" t="str">
        <f t="shared" si="3"/>
        <v>June</v>
      </c>
    </row>
    <row r="26" spans="1:16" ht="15.75" x14ac:dyDescent="0.25">
      <c r="A26" s="9">
        <v>45474</v>
      </c>
      <c r="B26" s="10" t="s">
        <v>10</v>
      </c>
      <c r="C26" s="10" t="s">
        <v>35</v>
      </c>
      <c r="D26" s="10" t="s">
        <v>19</v>
      </c>
      <c r="E26" s="10" t="s">
        <v>13</v>
      </c>
      <c r="F26" s="10">
        <v>12</v>
      </c>
      <c r="G26" s="19">
        <v>80</v>
      </c>
      <c r="H26" s="10" t="s">
        <v>37</v>
      </c>
      <c r="I26" s="10" t="s">
        <v>15</v>
      </c>
      <c r="J26" s="10" t="s">
        <v>29</v>
      </c>
      <c r="K26" s="19">
        <f t="shared" si="0"/>
        <v>960</v>
      </c>
      <c r="L26" s="19">
        <f t="shared" si="5"/>
        <v>288</v>
      </c>
      <c r="M26" s="10" t="str">
        <f t="shared" si="4"/>
        <v>No</v>
      </c>
      <c r="N26" s="19">
        <f t="shared" si="1"/>
        <v>28.8</v>
      </c>
      <c r="O26" s="10" t="str">
        <f t="shared" si="2"/>
        <v>Q3</v>
      </c>
      <c r="P26" s="10" t="str">
        <f t="shared" si="3"/>
        <v>July</v>
      </c>
    </row>
    <row r="27" spans="1:16" ht="15.75" x14ac:dyDescent="0.25">
      <c r="A27" s="9">
        <v>45481</v>
      </c>
      <c r="B27" s="10" t="s">
        <v>17</v>
      </c>
      <c r="C27" s="10" t="s">
        <v>31</v>
      </c>
      <c r="D27" s="10" t="s">
        <v>12</v>
      </c>
      <c r="E27" s="10" t="s">
        <v>20</v>
      </c>
      <c r="F27" s="10">
        <v>1</v>
      </c>
      <c r="G27" s="19">
        <v>300</v>
      </c>
      <c r="H27" s="10" t="s">
        <v>21</v>
      </c>
      <c r="I27" s="10" t="s">
        <v>22</v>
      </c>
      <c r="J27" s="10" t="s">
        <v>23</v>
      </c>
      <c r="K27" s="19">
        <f t="shared" si="0"/>
        <v>300</v>
      </c>
      <c r="L27" s="19">
        <f t="shared" si="5"/>
        <v>120</v>
      </c>
      <c r="M27" s="10" t="str">
        <f t="shared" si="4"/>
        <v>No</v>
      </c>
      <c r="N27" s="19">
        <f t="shared" si="1"/>
        <v>12</v>
      </c>
      <c r="O27" s="10" t="str">
        <f t="shared" si="2"/>
        <v>Q3</v>
      </c>
      <c r="P27" s="10" t="str">
        <f t="shared" si="3"/>
        <v>July</v>
      </c>
    </row>
    <row r="28" spans="1:16" ht="15.75" x14ac:dyDescent="0.25">
      <c r="A28" s="9">
        <v>45488</v>
      </c>
      <c r="B28" s="10" t="s">
        <v>24</v>
      </c>
      <c r="C28" s="10" t="s">
        <v>11</v>
      </c>
      <c r="D28" s="10" t="s">
        <v>12</v>
      </c>
      <c r="E28" s="10" t="s">
        <v>26</v>
      </c>
      <c r="F28" s="10">
        <v>3</v>
      </c>
      <c r="G28" s="19">
        <v>800</v>
      </c>
      <c r="H28" s="10" t="s">
        <v>27</v>
      </c>
      <c r="I28" s="10" t="s">
        <v>28</v>
      </c>
      <c r="J28" s="10" t="s">
        <v>29</v>
      </c>
      <c r="K28" s="19">
        <f t="shared" si="0"/>
        <v>2400</v>
      </c>
      <c r="L28" s="19">
        <f t="shared" si="5"/>
        <v>960</v>
      </c>
      <c r="M28" s="10" t="str">
        <f t="shared" si="4"/>
        <v>Yes</v>
      </c>
      <c r="N28" s="19">
        <f t="shared" si="1"/>
        <v>96</v>
      </c>
      <c r="O28" s="10" t="str">
        <f t="shared" si="2"/>
        <v>Q3</v>
      </c>
      <c r="P28" s="10" t="str">
        <f t="shared" si="3"/>
        <v>July</v>
      </c>
    </row>
    <row r="29" spans="1:16" ht="15.75" x14ac:dyDescent="0.25">
      <c r="A29" s="9">
        <v>45495</v>
      </c>
      <c r="B29" s="10" t="s">
        <v>30</v>
      </c>
      <c r="C29" s="10" t="s">
        <v>25</v>
      </c>
      <c r="D29" s="10" t="s">
        <v>19</v>
      </c>
      <c r="E29" s="10" t="s">
        <v>32</v>
      </c>
      <c r="F29" s="10">
        <v>5</v>
      </c>
      <c r="G29" s="19">
        <v>45</v>
      </c>
      <c r="H29" s="10" t="s">
        <v>33</v>
      </c>
      <c r="I29" s="10" t="s">
        <v>34</v>
      </c>
      <c r="J29" s="10" t="s">
        <v>16</v>
      </c>
      <c r="K29" s="19">
        <f t="shared" si="0"/>
        <v>225</v>
      </c>
      <c r="L29" s="19">
        <f t="shared" si="5"/>
        <v>67.5</v>
      </c>
      <c r="M29" s="10" t="str">
        <f t="shared" si="4"/>
        <v>No</v>
      </c>
      <c r="N29" s="19">
        <f t="shared" si="1"/>
        <v>6.75</v>
      </c>
      <c r="O29" s="10" t="str">
        <f t="shared" si="2"/>
        <v>Q3</v>
      </c>
      <c r="P29" s="10" t="str">
        <f t="shared" si="3"/>
        <v>July</v>
      </c>
    </row>
    <row r="30" spans="1:16" ht="15.75" x14ac:dyDescent="0.25">
      <c r="A30" s="9">
        <v>45505</v>
      </c>
      <c r="B30" s="10" t="s">
        <v>10</v>
      </c>
      <c r="C30" s="10" t="s">
        <v>18</v>
      </c>
      <c r="D30" s="10" t="s">
        <v>19</v>
      </c>
      <c r="E30" s="10" t="s">
        <v>13</v>
      </c>
      <c r="F30" s="10">
        <v>30</v>
      </c>
      <c r="G30" s="19">
        <v>25</v>
      </c>
      <c r="H30" s="10" t="s">
        <v>14</v>
      </c>
      <c r="I30" s="10" t="s">
        <v>15</v>
      </c>
      <c r="J30" s="10" t="s">
        <v>16</v>
      </c>
      <c r="K30" s="19">
        <f t="shared" si="0"/>
        <v>750</v>
      </c>
      <c r="L30" s="19">
        <f t="shared" si="5"/>
        <v>225</v>
      </c>
      <c r="M30" s="10" t="str">
        <f t="shared" si="4"/>
        <v>No</v>
      </c>
      <c r="N30" s="19">
        <f t="shared" si="1"/>
        <v>22.5</v>
      </c>
      <c r="O30" s="10" t="str">
        <f t="shared" si="2"/>
        <v>Q3</v>
      </c>
      <c r="P30" s="10" t="str">
        <f t="shared" si="3"/>
        <v>August</v>
      </c>
    </row>
    <row r="31" spans="1:16" ht="15.75" x14ac:dyDescent="0.25">
      <c r="A31" s="9">
        <v>45512</v>
      </c>
      <c r="B31" s="10" t="s">
        <v>17</v>
      </c>
      <c r="C31" s="10" t="s">
        <v>36</v>
      </c>
      <c r="D31" s="10" t="s">
        <v>12</v>
      </c>
      <c r="E31" s="10" t="s">
        <v>20</v>
      </c>
      <c r="F31" s="10">
        <v>2</v>
      </c>
      <c r="G31" s="19">
        <v>400</v>
      </c>
      <c r="H31" s="10" t="s">
        <v>21</v>
      </c>
      <c r="I31" s="10" t="s">
        <v>22</v>
      </c>
      <c r="J31" s="10" t="s">
        <v>23</v>
      </c>
      <c r="K31" s="19">
        <f t="shared" si="0"/>
        <v>800</v>
      </c>
      <c r="L31" s="19">
        <f t="shared" si="5"/>
        <v>320</v>
      </c>
      <c r="M31" s="10" t="str">
        <f t="shared" si="4"/>
        <v>No</v>
      </c>
      <c r="N31" s="19">
        <f t="shared" si="1"/>
        <v>32</v>
      </c>
      <c r="O31" s="10" t="str">
        <f t="shared" si="2"/>
        <v>Q3</v>
      </c>
      <c r="P31" s="10" t="str">
        <f t="shared" si="3"/>
        <v>August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B981-6D27-4CEE-972D-007FEAE3C02C}">
  <dimension ref="A1:C11"/>
  <sheetViews>
    <sheetView workbookViewId="0">
      <selection activeCell="C20" sqref="C20"/>
    </sheetView>
  </sheetViews>
  <sheetFormatPr defaultRowHeight="15" x14ac:dyDescent="0.25"/>
  <cols>
    <col min="1" max="1" width="23.85546875" bestFit="1" customWidth="1"/>
    <col min="2" max="2" width="15.42578125" bestFit="1" customWidth="1"/>
    <col min="3" max="3" width="40.85546875" bestFit="1" customWidth="1"/>
  </cols>
  <sheetData>
    <row r="1" spans="1:3" ht="15.75" x14ac:dyDescent="0.25">
      <c r="A1" s="28" t="s">
        <v>44</v>
      </c>
      <c r="B1" s="28"/>
      <c r="C1" s="28"/>
    </row>
    <row r="2" spans="1:3" ht="15.75" x14ac:dyDescent="0.25">
      <c r="A2" s="14" t="s">
        <v>46</v>
      </c>
      <c r="B2" s="14" t="s">
        <v>45</v>
      </c>
      <c r="C2" s="15" t="s">
        <v>47</v>
      </c>
    </row>
    <row r="3" spans="1:3" ht="15.75" x14ac:dyDescent="0.25">
      <c r="A3" s="16" t="s">
        <v>48</v>
      </c>
      <c r="B3" s="21">
        <f>SUM(cleaned_data!K:K)</f>
        <v>34090</v>
      </c>
      <c r="C3" s="1" t="s">
        <v>57</v>
      </c>
    </row>
    <row r="4" spans="1:3" ht="15.75" x14ac:dyDescent="0.25">
      <c r="A4" s="16" t="s">
        <v>49</v>
      </c>
      <c r="B4" s="21">
        <f>SUM(cleaned_data!L:L)</f>
        <v>12907</v>
      </c>
      <c r="C4" s="1" t="s">
        <v>58</v>
      </c>
    </row>
    <row r="5" spans="1:3" ht="15.75" x14ac:dyDescent="0.25">
      <c r="A5" s="16" t="s">
        <v>50</v>
      </c>
      <c r="B5" s="17">
        <f>SUM(cleaned_data!F:F)</f>
        <v>236</v>
      </c>
      <c r="C5" s="1" t="s">
        <v>59</v>
      </c>
    </row>
    <row r="6" spans="1:3" ht="15.75" x14ac:dyDescent="0.25">
      <c r="A6" s="16" t="s">
        <v>51</v>
      </c>
      <c r="B6" s="22">
        <f>B3/COUNT(cleaned_data!F2:F31)</f>
        <v>1136.3333333333333</v>
      </c>
      <c r="C6" s="1" t="s">
        <v>60</v>
      </c>
    </row>
    <row r="7" spans="1:3" ht="15.75" x14ac:dyDescent="0.25">
      <c r="A7" s="16" t="s">
        <v>52</v>
      </c>
      <c r="B7" s="16">
        <f>COUNTA(_xlfn.UNIQUE(cleaned_data!H2:H31))</f>
        <v>5</v>
      </c>
      <c r="C7" s="1" t="s">
        <v>61</v>
      </c>
    </row>
    <row r="8" spans="1:3" ht="15.75" x14ac:dyDescent="0.25">
      <c r="A8" s="16" t="s">
        <v>53</v>
      </c>
      <c r="B8" s="16" t="str">
        <f>INDEX(cleaned_data!C:C, MATCH(MAX(cleaned_data!K:K), cleaned_data!K:K, 0))</f>
        <v>Laptop</v>
      </c>
      <c r="C8" s="1" t="s">
        <v>62</v>
      </c>
    </row>
    <row r="9" spans="1:3" ht="15.75" x14ac:dyDescent="0.25">
      <c r="A9" s="16" t="s">
        <v>54</v>
      </c>
      <c r="B9" s="16" t="str" cm="1">
        <f t="array" ref="B9">INDEX(cleaned_data!E:E, MATCH(MAX(SUMIF(cleaned_data!E:E, cleaned_data!E:E, cleaned_data!K:K)), SUMIF(cleaned_data!E:E, cleaned_data!E:E, cleaned_data!K:K), 0))</f>
        <v>John</v>
      </c>
      <c r="C9" s="1" t="s">
        <v>63</v>
      </c>
    </row>
    <row r="10" spans="1:3" ht="15.75" x14ac:dyDescent="0.25">
      <c r="A10" s="16" t="s">
        <v>55</v>
      </c>
      <c r="B10" s="16" t="str" cm="1">
        <f t="array" ref="B10">INDEX(cleaned_data!B:B, MATCH(MAX(SUMIF(cleaned_data!B:B, cleaned_data!B:B, cleaned_data!K:K)), SUMIF(cleaned_data!B:B, cleaned_data!B:B, cleaned_data!K:K), 0))</f>
        <v>North</v>
      </c>
      <c r="C10" s="1" t="s">
        <v>64</v>
      </c>
    </row>
    <row r="11" spans="1:3" ht="15.75" x14ac:dyDescent="0.25">
      <c r="A11" s="16" t="s">
        <v>56</v>
      </c>
      <c r="B11" s="16" t="str">
        <f>IF(B3&gt;150000, "Above Target", "Meeting Target")</f>
        <v>Meeting Target</v>
      </c>
      <c r="C11" s="1" t="s">
        <v>65</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D56-BA65-4EE2-8585-03708DD779BA}">
  <dimension ref="A1:F32"/>
  <sheetViews>
    <sheetView tabSelected="1" zoomScale="37" zoomScaleNormal="37" workbookViewId="0">
      <selection activeCell="C13" sqref="C13"/>
    </sheetView>
  </sheetViews>
  <sheetFormatPr defaultRowHeight="15" x14ac:dyDescent="0.25"/>
  <cols>
    <col min="1" max="1" width="24" bestFit="1" customWidth="1"/>
    <col min="2" max="3" width="25.5703125" bestFit="1" customWidth="1"/>
    <col min="4" max="4" width="17.28515625" bestFit="1" customWidth="1"/>
    <col min="5" max="5" width="10" bestFit="1" customWidth="1"/>
    <col min="6" max="6" width="16.28515625" bestFit="1" customWidth="1"/>
  </cols>
  <sheetData>
    <row r="1" spans="1:3" x14ac:dyDescent="0.25">
      <c r="A1" s="29" t="s">
        <v>66</v>
      </c>
      <c r="B1" s="30" t="s">
        <v>81</v>
      </c>
      <c r="C1" s="30" t="s">
        <v>69</v>
      </c>
    </row>
    <row r="2" spans="1:3" x14ac:dyDescent="0.25">
      <c r="A2" s="30" t="s">
        <v>16</v>
      </c>
      <c r="B2" s="31">
        <v>0.4</v>
      </c>
      <c r="C2" s="32">
        <v>15040</v>
      </c>
    </row>
    <row r="3" spans="1:3" x14ac:dyDescent="0.25">
      <c r="A3" s="30" t="s">
        <v>29</v>
      </c>
      <c r="B3" s="31">
        <v>0.33333333333333331</v>
      </c>
      <c r="C3" s="32">
        <v>13440</v>
      </c>
    </row>
    <row r="4" spans="1:3" x14ac:dyDescent="0.25">
      <c r="A4" s="30" t="s">
        <v>23</v>
      </c>
      <c r="B4" s="31">
        <v>0.26666666666666666</v>
      </c>
      <c r="C4" s="32">
        <v>5610</v>
      </c>
    </row>
    <row r="5" spans="1:3" x14ac:dyDescent="0.25">
      <c r="A5" s="30" t="s">
        <v>67</v>
      </c>
      <c r="B5" s="31">
        <v>1</v>
      </c>
      <c r="C5" s="32">
        <v>34090</v>
      </c>
    </row>
    <row r="8" spans="1:3" x14ac:dyDescent="0.25">
      <c r="A8" s="29" t="s">
        <v>66</v>
      </c>
      <c r="B8" s="30" t="s">
        <v>69</v>
      </c>
      <c r="C8" s="30" t="s">
        <v>78</v>
      </c>
    </row>
    <row r="9" spans="1:3" x14ac:dyDescent="0.25">
      <c r="A9" s="30" t="s">
        <v>70</v>
      </c>
      <c r="B9" s="32">
        <v>5560</v>
      </c>
      <c r="C9" s="31">
        <v>0.16309768260486945</v>
      </c>
    </row>
    <row r="10" spans="1:3" x14ac:dyDescent="0.25">
      <c r="A10" s="30" t="s">
        <v>71</v>
      </c>
      <c r="B10" s="32">
        <v>3975</v>
      </c>
      <c r="C10" s="31">
        <v>0.1166031094162511</v>
      </c>
    </row>
    <row r="11" spans="1:3" x14ac:dyDescent="0.25">
      <c r="A11" s="30" t="s">
        <v>72</v>
      </c>
      <c r="B11" s="32">
        <v>6555</v>
      </c>
      <c r="C11" s="31">
        <v>0.19228512760340274</v>
      </c>
    </row>
    <row r="12" spans="1:3" x14ac:dyDescent="0.25">
      <c r="A12" s="30" t="s">
        <v>73</v>
      </c>
      <c r="B12" s="32">
        <v>4700</v>
      </c>
      <c r="C12" s="31">
        <v>0.13787034320915226</v>
      </c>
    </row>
    <row r="13" spans="1:3" x14ac:dyDescent="0.25">
      <c r="A13" s="30" t="s">
        <v>74</v>
      </c>
      <c r="B13" s="32">
        <v>3040</v>
      </c>
      <c r="C13" s="31">
        <v>8.9175711352302733E-2</v>
      </c>
    </row>
    <row r="14" spans="1:3" x14ac:dyDescent="0.25">
      <c r="A14" s="30" t="s">
        <v>75</v>
      </c>
      <c r="B14" s="32">
        <v>4825</v>
      </c>
      <c r="C14" s="31">
        <v>0.14153710765620417</v>
      </c>
    </row>
    <row r="15" spans="1:3" x14ac:dyDescent="0.25">
      <c r="A15" s="30" t="s">
        <v>76</v>
      </c>
      <c r="B15" s="32">
        <v>3885</v>
      </c>
      <c r="C15" s="31">
        <v>0.11396303901437371</v>
      </c>
    </row>
    <row r="16" spans="1:3" x14ac:dyDescent="0.25">
      <c r="A16" s="30" t="s">
        <v>77</v>
      </c>
      <c r="B16" s="32">
        <v>1550</v>
      </c>
      <c r="C16" s="31">
        <v>4.5467879143443822E-2</v>
      </c>
    </row>
    <row r="17" spans="1:6" x14ac:dyDescent="0.25">
      <c r="A17" s="30" t="s">
        <v>67</v>
      </c>
      <c r="B17" s="32">
        <v>34090</v>
      </c>
      <c r="C17" s="31">
        <v>1</v>
      </c>
    </row>
    <row r="20" spans="1:6" x14ac:dyDescent="0.25">
      <c r="A20" s="29" t="s">
        <v>69</v>
      </c>
      <c r="B20" s="29" t="s">
        <v>68</v>
      </c>
      <c r="C20" s="30"/>
      <c r="D20" s="30"/>
      <c r="E20" s="30"/>
      <c r="F20" s="30"/>
    </row>
    <row r="21" spans="1:6" x14ac:dyDescent="0.25">
      <c r="A21" s="29" t="s">
        <v>66</v>
      </c>
      <c r="B21" s="30" t="s">
        <v>24</v>
      </c>
      <c r="C21" s="30" t="s">
        <v>10</v>
      </c>
      <c r="D21" s="30" t="s">
        <v>17</v>
      </c>
      <c r="E21" s="30" t="s">
        <v>30</v>
      </c>
      <c r="F21" s="30" t="s">
        <v>67</v>
      </c>
    </row>
    <row r="22" spans="1:6" x14ac:dyDescent="0.25">
      <c r="A22" s="30" t="s">
        <v>19</v>
      </c>
      <c r="B22" s="32">
        <v>1610</v>
      </c>
      <c r="C22" s="32">
        <v>2480</v>
      </c>
      <c r="D22" s="32">
        <v>1710</v>
      </c>
      <c r="E22" s="32">
        <v>1490</v>
      </c>
      <c r="F22" s="32">
        <v>7290</v>
      </c>
    </row>
    <row r="23" spans="1:6" x14ac:dyDescent="0.25">
      <c r="A23" s="30" t="s">
        <v>12</v>
      </c>
      <c r="B23" s="32">
        <v>8200</v>
      </c>
      <c r="C23" s="32">
        <v>8600</v>
      </c>
      <c r="D23" s="32">
        <v>3900</v>
      </c>
      <c r="E23" s="32">
        <v>6100</v>
      </c>
      <c r="F23" s="32">
        <v>26800</v>
      </c>
    </row>
    <row r="24" spans="1:6" x14ac:dyDescent="0.25">
      <c r="A24" s="30" t="s">
        <v>67</v>
      </c>
      <c r="B24" s="32">
        <v>9810</v>
      </c>
      <c r="C24" s="32">
        <v>11080</v>
      </c>
      <c r="D24" s="32">
        <v>5610</v>
      </c>
      <c r="E24" s="32">
        <v>7590</v>
      </c>
      <c r="F24" s="32">
        <v>34090</v>
      </c>
    </row>
    <row r="27" spans="1:6" x14ac:dyDescent="0.25">
      <c r="A27" s="29" t="s">
        <v>66</v>
      </c>
      <c r="B27" s="30" t="s">
        <v>69</v>
      </c>
      <c r="C27" s="30" t="s">
        <v>79</v>
      </c>
      <c r="D27" s="30" t="s">
        <v>80</v>
      </c>
    </row>
    <row r="28" spans="1:6" x14ac:dyDescent="0.25">
      <c r="A28" s="30" t="s">
        <v>13</v>
      </c>
      <c r="B28" s="32">
        <v>11080</v>
      </c>
      <c r="C28" s="32">
        <v>418.40000000000003</v>
      </c>
      <c r="D28" s="33">
        <v>83</v>
      </c>
    </row>
    <row r="29" spans="1:6" x14ac:dyDescent="0.25">
      <c r="A29" s="30" t="s">
        <v>26</v>
      </c>
      <c r="B29" s="32">
        <v>9810</v>
      </c>
      <c r="C29" s="32">
        <v>376.3</v>
      </c>
      <c r="D29" s="33">
        <v>50</v>
      </c>
    </row>
    <row r="30" spans="1:6" x14ac:dyDescent="0.25">
      <c r="A30" s="30" t="s">
        <v>32</v>
      </c>
      <c r="B30" s="32">
        <v>7590</v>
      </c>
      <c r="C30" s="32">
        <v>288.7</v>
      </c>
      <c r="D30" s="33">
        <v>52</v>
      </c>
    </row>
    <row r="31" spans="1:6" x14ac:dyDescent="0.25">
      <c r="A31" s="30" t="s">
        <v>20</v>
      </c>
      <c r="B31" s="32">
        <v>5610</v>
      </c>
      <c r="C31" s="32">
        <v>207.3</v>
      </c>
      <c r="D31" s="33">
        <v>51</v>
      </c>
    </row>
    <row r="32" spans="1:6" x14ac:dyDescent="0.25">
      <c r="A32" s="30" t="s">
        <v>67</v>
      </c>
      <c r="B32" s="32">
        <v>34090</v>
      </c>
      <c r="C32" s="32">
        <v>1290.7</v>
      </c>
      <c r="D32" s="33">
        <v>236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7B111-31DF-45A5-A08F-40DBE95982FF}">
  <dimension ref="A1:A29"/>
  <sheetViews>
    <sheetView workbookViewId="0">
      <selection activeCell="E18" sqref="E18"/>
    </sheetView>
  </sheetViews>
  <sheetFormatPr defaultRowHeight="15" x14ac:dyDescent="0.25"/>
  <cols>
    <col min="1" max="1" width="60.140625" bestFit="1" customWidth="1"/>
  </cols>
  <sheetData>
    <row r="1" spans="1:1" ht="15.75" x14ac:dyDescent="0.25">
      <c r="A1" s="26" t="s">
        <v>91</v>
      </c>
    </row>
    <row r="2" spans="1:1" ht="15.75" x14ac:dyDescent="0.25">
      <c r="A2" s="26"/>
    </row>
    <row r="3" spans="1:1" ht="15.75" x14ac:dyDescent="0.25">
      <c r="A3" s="26" t="s">
        <v>85</v>
      </c>
    </row>
    <row r="4" spans="1:1" ht="15.75" x14ac:dyDescent="0.25">
      <c r="A4" s="26" t="s">
        <v>92</v>
      </c>
    </row>
    <row r="5" spans="1:1" ht="15.75" x14ac:dyDescent="0.25">
      <c r="A5" s="26" t="s">
        <v>93</v>
      </c>
    </row>
    <row r="6" spans="1:1" ht="15.75" x14ac:dyDescent="0.25">
      <c r="A6" s="26" t="s">
        <v>94</v>
      </c>
    </row>
    <row r="7" spans="1:1" ht="15.75" x14ac:dyDescent="0.25">
      <c r="A7" s="26" t="s">
        <v>95</v>
      </c>
    </row>
    <row r="8" spans="1:1" ht="15.75" x14ac:dyDescent="0.25">
      <c r="A8" s="26"/>
    </row>
    <row r="9" spans="1:1" ht="15.75" x14ac:dyDescent="0.25">
      <c r="A9" s="26" t="s">
        <v>86</v>
      </c>
    </row>
    <row r="10" spans="1:1" ht="15.75" x14ac:dyDescent="0.25">
      <c r="A10" s="26" t="s">
        <v>96</v>
      </c>
    </row>
    <row r="11" spans="1:1" ht="15.75" x14ac:dyDescent="0.25">
      <c r="A11" s="26" t="s">
        <v>97</v>
      </c>
    </row>
    <row r="12" spans="1:1" ht="15.75" x14ac:dyDescent="0.25">
      <c r="A12" s="26" t="s">
        <v>98</v>
      </c>
    </row>
    <row r="13" spans="1:1" ht="15.75" x14ac:dyDescent="0.25">
      <c r="A13" s="26"/>
    </row>
    <row r="14" spans="1:1" ht="15.75" x14ac:dyDescent="0.25">
      <c r="A14" s="26" t="s">
        <v>87</v>
      </c>
    </row>
    <row r="15" spans="1:1" ht="15.75" x14ac:dyDescent="0.25">
      <c r="A15" s="26" t="s">
        <v>99</v>
      </c>
    </row>
    <row r="16" spans="1:1" ht="15.75" x14ac:dyDescent="0.25">
      <c r="A16" s="26" t="s">
        <v>89</v>
      </c>
    </row>
    <row r="17" spans="1:1" ht="15.75" x14ac:dyDescent="0.25">
      <c r="A17" s="26" t="s">
        <v>90</v>
      </c>
    </row>
    <row r="18" spans="1:1" ht="15.75" x14ac:dyDescent="0.25">
      <c r="A18" s="26"/>
    </row>
    <row r="19" spans="1:1" ht="15.75" x14ac:dyDescent="0.25">
      <c r="A19" s="26" t="s">
        <v>84</v>
      </c>
    </row>
    <row r="20" spans="1:1" ht="15.75" x14ac:dyDescent="0.25">
      <c r="A20" s="26" t="s">
        <v>100</v>
      </c>
    </row>
    <row r="21" spans="1:1" ht="15.75" x14ac:dyDescent="0.25">
      <c r="A21" s="26" t="s">
        <v>101</v>
      </c>
    </row>
    <row r="22" spans="1:1" ht="15.75" x14ac:dyDescent="0.25">
      <c r="A22" s="26" t="s">
        <v>102</v>
      </c>
    </row>
    <row r="23" spans="1:1" ht="15.75" x14ac:dyDescent="0.25">
      <c r="A23" s="26"/>
    </row>
    <row r="24" spans="1:1" ht="15.75" x14ac:dyDescent="0.25">
      <c r="A24" s="26" t="s">
        <v>88</v>
      </c>
    </row>
    <row r="25" spans="1:1" ht="31.5" x14ac:dyDescent="0.25">
      <c r="A25" s="27" t="s">
        <v>103</v>
      </c>
    </row>
    <row r="26" spans="1:1" ht="15.75" x14ac:dyDescent="0.25">
      <c r="A26" s="26" t="s">
        <v>104</v>
      </c>
    </row>
    <row r="27" spans="1:1" ht="15.75" x14ac:dyDescent="0.25">
      <c r="A27" s="26" t="s">
        <v>82</v>
      </c>
    </row>
    <row r="28" spans="1:1" ht="15.75" x14ac:dyDescent="0.25">
      <c r="A28" s="26" t="s">
        <v>83</v>
      </c>
    </row>
    <row r="29" spans="1:1" ht="15.75" x14ac:dyDescent="0.25">
      <c r="A29" s="26"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KPIcalculations</vt:lpstr>
      <vt:lpstr>Pivot_Table</vt:lpstr>
      <vt:lpstr>Insight&amp;Recommendation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cynthiaonuoha.cs@gmail.com</dc:creator>
  <cp:lastModifiedBy>cynthiaonuoha.cs@gmail.com</cp:lastModifiedBy>
  <dcterms:created xsi:type="dcterms:W3CDTF">2026-04-18T10:31:11Z</dcterms:created>
  <dcterms:modified xsi:type="dcterms:W3CDTF">2026-06-19T09:49:52Z</dcterms:modified>
</cp:coreProperties>
</file>