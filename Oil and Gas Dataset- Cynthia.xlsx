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d.docs.live.net/e27bd952a31a452f/Desktop/ANALYSICS PROJECT/"/>
    </mc:Choice>
  </mc:AlternateContent>
  <xr:revisionPtr revIDLastSave="2" documentId="13_ncr:1_{C42FC16F-5899-4248-9B3E-0A8ACB1E0D07}" xr6:coauthVersionLast="47" xr6:coauthVersionMax="47" xr10:uidLastSave="{458C4C2A-D408-40F5-B277-F2871E55541E}"/>
  <bookViews>
    <workbookView xWindow="-120" yWindow="-120" windowWidth="20730" windowHeight="11160" activeTab="2" xr2:uid="{00000000-000D-0000-FFFF-FFFF00000000}"/>
  </bookViews>
  <sheets>
    <sheet name="Raw_Dataset" sheetId="2" r:id="rId1"/>
    <sheet name="Dataset_Cleaned" sheetId="1" r:id="rId2"/>
    <sheet name="Analysis" sheetId="3" r:id="rId3"/>
  </sheets>
  <definedNames>
    <definedName name="Slicer_Month">#N/A</definedName>
    <definedName name="Slicer_Product">#N/A</definedName>
    <definedName name="Slicer_Region">#N/A</definedName>
    <definedName name="Slicer_Sales_Rep">#N/A</definedName>
  </definedNames>
  <calcPr calcId="191029" iterateDelta="1E-4"/>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3" l="1"/>
  <c r="H3" i="3"/>
  <c r="E3" i="3"/>
  <c r="B3"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alcChain>
</file>

<file path=xl/sharedStrings.xml><?xml version="1.0" encoding="utf-8"?>
<sst xmlns="http://schemas.openxmlformats.org/spreadsheetml/2006/main" count="10088" uniqueCount="518">
  <si>
    <t>Transaction_ID</t>
  </si>
  <si>
    <t>Date</t>
  </si>
  <si>
    <t>Region</t>
  </si>
  <si>
    <t>Product</t>
  </si>
  <si>
    <t>Customer</t>
  </si>
  <si>
    <t>Sales_Rep</t>
  </si>
  <si>
    <t>Quantity</t>
  </si>
  <si>
    <t>Price_per_Unit</t>
  </si>
  <si>
    <t>Revenue</t>
  </si>
  <si>
    <t>Cost_per_Unit</t>
  </si>
  <si>
    <t>Total_Cost</t>
  </si>
  <si>
    <t>Profit</t>
  </si>
  <si>
    <t>2024-11-23</t>
  </si>
  <si>
    <t>2024-12-12</t>
  </si>
  <si>
    <t>2024-01-14</t>
  </si>
  <si>
    <t>2024-03-22</t>
  </si>
  <si>
    <t>2024-02-17</t>
  </si>
  <si>
    <t>2024-10-01</t>
  </si>
  <si>
    <t>2024-07-04</t>
  </si>
  <si>
    <t>2024-02-21</t>
  </si>
  <si>
    <t>2024-05-16</t>
  </si>
  <si>
    <t>2024-07-24</t>
  </si>
  <si>
    <t>2024-11-25</t>
  </si>
  <si>
    <t>2024-10-26</t>
  </si>
  <si>
    <t>2024-01-25</t>
  </si>
  <si>
    <t>2024-11-01</t>
  </si>
  <si>
    <t>2024-05-14</t>
  </si>
  <si>
    <t>2024-03-23</t>
  </si>
  <si>
    <t>2024-06-06</t>
  </si>
  <si>
    <t>2024-02-05</t>
  </si>
  <si>
    <t>2024-08-04</t>
  </si>
  <si>
    <t>2024-08-12</t>
  </si>
  <si>
    <t>2024-04-27</t>
  </si>
  <si>
    <t>2024-06-18</t>
  </si>
  <si>
    <t>2024-10-19</t>
  </si>
  <si>
    <t>2024-06-30</t>
  </si>
  <si>
    <t>2024-02-25</t>
  </si>
  <si>
    <t>2024-08-24</t>
  </si>
  <si>
    <t>2024-01-08</t>
  </si>
  <si>
    <t>2024-01-31</t>
  </si>
  <si>
    <t>2024-05-26</t>
  </si>
  <si>
    <t>2024-10-04</t>
  </si>
  <si>
    <t>2024-03-21</t>
  </si>
  <si>
    <t>2024-03-02</t>
  </si>
  <si>
    <t>2024-06-10</t>
  </si>
  <si>
    <t>2024-11-26</t>
  </si>
  <si>
    <t>2024-05-05</t>
  </si>
  <si>
    <t>2024-11-30</t>
  </si>
  <si>
    <t>2024-10-10</t>
  </si>
  <si>
    <t>2024-11-20</t>
  </si>
  <si>
    <t>2024-01-23</t>
  </si>
  <si>
    <t>2024-12-27</t>
  </si>
  <si>
    <t>2024-10-25</t>
  </si>
  <si>
    <t>2024-01-21</t>
  </si>
  <si>
    <t>2024-07-27</t>
  </si>
  <si>
    <t>2024-06-19</t>
  </si>
  <si>
    <t>2024-08-28</t>
  </si>
  <si>
    <t>2024-04-24</t>
  </si>
  <si>
    <t>2024-05-22</t>
  </si>
  <si>
    <t>2024-05-13</t>
  </si>
  <si>
    <t>2024-08-11</t>
  </si>
  <si>
    <t>2024-09-23</t>
  </si>
  <si>
    <t>2024-03-04</t>
  </si>
  <si>
    <t>2024-03-06</t>
  </si>
  <si>
    <t>2024-10-07</t>
  </si>
  <si>
    <t>2024-06-13</t>
  </si>
  <si>
    <t>2024-03-27</t>
  </si>
  <si>
    <t>2024-04-30</t>
  </si>
  <si>
    <t>2024-11-08</t>
  </si>
  <si>
    <t>2024-07-23</t>
  </si>
  <si>
    <t>2024-12-22</t>
  </si>
  <si>
    <t>2024-12-07</t>
  </si>
  <si>
    <t>2024-11-16</t>
  </si>
  <si>
    <t>2024-10-03</t>
  </si>
  <si>
    <t>2024-02-02</t>
  </si>
  <si>
    <t>2024-08-03</t>
  </si>
  <si>
    <t>2024-06-01</t>
  </si>
  <si>
    <t>2024-09-05</t>
  </si>
  <si>
    <t>2024-11-14</t>
  </si>
  <si>
    <t>2024-07-13</t>
  </si>
  <si>
    <t>2024-06-28</t>
  </si>
  <si>
    <t>2024-01-11</t>
  </si>
  <si>
    <t>2024-12-24</t>
  </si>
  <si>
    <t>2024-06-08</t>
  </si>
  <si>
    <t>2024-02-08</t>
  </si>
  <si>
    <t>2024-01-22</t>
  </si>
  <si>
    <t>2024-09-24</t>
  </si>
  <si>
    <t>2024-02-14</t>
  </si>
  <si>
    <t>2024-06-15</t>
  </si>
  <si>
    <t>2024-12-25</t>
  </si>
  <si>
    <t>2024-10-11</t>
  </si>
  <si>
    <t>2024-04-23</t>
  </si>
  <si>
    <t>2024-08-05</t>
  </si>
  <si>
    <t>2024-04-08</t>
  </si>
  <si>
    <t>2024-05-21</t>
  </si>
  <si>
    <t>2024-12-28</t>
  </si>
  <si>
    <t>2024-09-08</t>
  </si>
  <si>
    <t>2024-01-27</t>
  </si>
  <si>
    <t>2024-12-17</t>
  </si>
  <si>
    <t>2024-10-12</t>
  </si>
  <si>
    <t>2024-10-28</t>
  </si>
  <si>
    <t>2024-04-16</t>
  </si>
  <si>
    <t>2024-12-04</t>
  </si>
  <si>
    <t>2024-03-13</t>
  </si>
  <si>
    <t>2024-06-04</t>
  </si>
  <si>
    <t>2024-08-09</t>
  </si>
  <si>
    <t>2024-10-21</t>
  </si>
  <si>
    <t>2024-10-08</t>
  </si>
  <si>
    <t>2024-07-25</t>
  </si>
  <si>
    <t>2024-09-12</t>
  </si>
  <si>
    <t>2024-12-23</t>
  </si>
  <si>
    <t>2024-03-19</t>
  </si>
  <si>
    <t>2024-05-04</t>
  </si>
  <si>
    <t>2024-10-05</t>
  </si>
  <si>
    <t>2024-07-29</t>
  </si>
  <si>
    <t>2024-11-29</t>
  </si>
  <si>
    <t>2024-12-01</t>
  </si>
  <si>
    <t>2024-02-11</t>
  </si>
  <si>
    <t>2024-11-19</t>
  </si>
  <si>
    <t>2024-12-26</t>
  </si>
  <si>
    <t>2024-05-30</t>
  </si>
  <si>
    <t>2024-04-02</t>
  </si>
  <si>
    <t>2024-08-26</t>
  </si>
  <si>
    <t>2024-07-14</t>
  </si>
  <si>
    <t>2024-05-20</t>
  </si>
  <si>
    <t>2024-06-29</t>
  </si>
  <si>
    <t>2024-05-31</t>
  </si>
  <si>
    <t>2024-07-06</t>
  </si>
  <si>
    <t>2024-02-28</t>
  </si>
  <si>
    <t>2024-12-10</t>
  </si>
  <si>
    <t>2024-11-13</t>
  </si>
  <si>
    <t>2024-07-28</t>
  </si>
  <si>
    <t>2024-03-20</t>
  </si>
  <si>
    <t>2024-12-19</t>
  </si>
  <si>
    <t>2024-08-20</t>
  </si>
  <si>
    <t>2024-03-05</t>
  </si>
  <si>
    <t>2024-04-29</t>
  </si>
  <si>
    <t>2024-03-07</t>
  </si>
  <si>
    <t>2024-05-01</t>
  </si>
  <si>
    <t>2024-08-06</t>
  </si>
  <si>
    <t>2024-03-16</t>
  </si>
  <si>
    <t>2024-07-31</t>
  </si>
  <si>
    <t>2024-08-30</t>
  </si>
  <si>
    <t>2024-04-25</t>
  </si>
  <si>
    <t>2024-06-07</t>
  </si>
  <si>
    <t>2024-11-12</t>
  </si>
  <si>
    <t>2024-05-19</t>
  </si>
  <si>
    <t>2024-09-06</t>
  </si>
  <si>
    <t>2024-04-18</t>
  </si>
  <si>
    <t>2024-03-30</t>
  </si>
  <si>
    <t>2024-06-09</t>
  </si>
  <si>
    <t>2024-02-09</t>
  </si>
  <si>
    <t>2024-08-17</t>
  </si>
  <si>
    <t>2024-07-07</t>
  </si>
  <si>
    <t>2024-08-18</t>
  </si>
  <si>
    <t>2024-07-17</t>
  </si>
  <si>
    <t>2024-02-03</t>
  </si>
  <si>
    <t>2024-11-04</t>
  </si>
  <si>
    <t>2024-06-17</t>
  </si>
  <si>
    <t>2024-03-25</t>
  </si>
  <si>
    <t>2024-08-13</t>
  </si>
  <si>
    <t>2024-04-12</t>
  </si>
  <si>
    <t>2024-09-21</t>
  </si>
  <si>
    <t>2024-07-10</t>
  </si>
  <si>
    <t>2024-12-31</t>
  </si>
  <si>
    <t>2024-03-12</t>
  </si>
  <si>
    <t>2024-03-17</t>
  </si>
  <si>
    <t>2024-08-02</t>
  </si>
  <si>
    <t>2024-05-03</t>
  </si>
  <si>
    <t>2024-12-06</t>
  </si>
  <si>
    <t>2024-01-09</t>
  </si>
  <si>
    <t>2024-12-16</t>
  </si>
  <si>
    <t>2024-08-22</t>
  </si>
  <si>
    <t>2024-07-16</t>
  </si>
  <si>
    <t>2024-02-12</t>
  </si>
  <si>
    <t>2024-02-10</t>
  </si>
  <si>
    <t>2024-08-16</t>
  </si>
  <si>
    <t>2024-01-30</t>
  </si>
  <si>
    <t>2024-11-07</t>
  </si>
  <si>
    <t>2024-07-15</t>
  </si>
  <si>
    <t>2024-10-20</t>
  </si>
  <si>
    <t>2024-04-05</t>
  </si>
  <si>
    <t>2024-04-19</t>
  </si>
  <si>
    <t>2024-05-28</t>
  </si>
  <si>
    <t>2024-10-09</t>
  </si>
  <si>
    <t>2024-09-26</t>
  </si>
  <si>
    <t>2024-09-14</t>
  </si>
  <si>
    <t>2024-12-29</t>
  </si>
  <si>
    <t>2024-10-30</t>
  </si>
  <si>
    <t>2024-01-15</t>
  </si>
  <si>
    <t>2024-08-01</t>
  </si>
  <si>
    <t>2024-08-25</t>
  </si>
  <si>
    <t>2024-06-25</t>
  </si>
  <si>
    <t>2024-09-20</t>
  </si>
  <si>
    <t>2024-11-15</t>
  </si>
  <si>
    <t>2024-03-11</t>
  </si>
  <si>
    <t>2024-06-16</t>
  </si>
  <si>
    <t>2024-09-17</t>
  </si>
  <si>
    <t>2024-10-23</t>
  </si>
  <si>
    <t>2024-08-29</t>
  </si>
  <si>
    <t>2024-07-11</t>
  </si>
  <si>
    <t>2024-12-14</t>
  </si>
  <si>
    <t>2024-05-11</t>
  </si>
  <si>
    <t>2024-05-27</t>
  </si>
  <si>
    <t>2024-01-20</t>
  </si>
  <si>
    <t>2024-03-24</t>
  </si>
  <si>
    <t>2024-10-17</t>
  </si>
  <si>
    <t>2024-12-08</t>
  </si>
  <si>
    <t>2024-01-06</t>
  </si>
  <si>
    <t>2024-03-09</t>
  </si>
  <si>
    <t>2024-01-29</t>
  </si>
  <si>
    <t>2024-01-24</t>
  </si>
  <si>
    <t>2024-02-27</t>
  </si>
  <si>
    <t>2024-01-18</t>
  </si>
  <si>
    <t>2024-12-09</t>
  </si>
  <si>
    <t>2024-10-02</t>
  </si>
  <si>
    <t>2024-10-14</t>
  </si>
  <si>
    <t>2024-05-17</t>
  </si>
  <si>
    <t>2024-09-30</t>
  </si>
  <si>
    <t>2024-03-15</t>
  </si>
  <si>
    <t>2024-11-24</t>
  </si>
  <si>
    <t>2024-04-04</t>
  </si>
  <si>
    <t>2024-04-28</t>
  </si>
  <si>
    <t>2024-11-22</t>
  </si>
  <si>
    <t>2024-09-28</t>
  </si>
  <si>
    <t>2024-02-24</t>
  </si>
  <si>
    <t>2024-07-22</t>
  </si>
  <si>
    <t>2024-02-18</t>
  </si>
  <si>
    <t>2024-12-30</t>
  </si>
  <si>
    <t>2024-01-28</t>
  </si>
  <si>
    <t>2024-10-31</t>
  </si>
  <si>
    <t>2024-05-06</t>
  </si>
  <si>
    <t>2024-07-18</t>
  </si>
  <si>
    <t>2024-05-18</t>
  </si>
  <si>
    <t>2024-05-08</t>
  </si>
  <si>
    <t>2024-01-04</t>
  </si>
  <si>
    <t>2024-07-20</t>
  </si>
  <si>
    <t>2024-12-20</t>
  </si>
  <si>
    <t>2024-11-27</t>
  </si>
  <si>
    <t>2024-09-22</t>
  </si>
  <si>
    <t>2024-09-13</t>
  </si>
  <si>
    <t>2024-02-13</t>
  </si>
  <si>
    <t>2024-09-04</t>
  </si>
  <si>
    <t>2024-07-26</t>
  </si>
  <si>
    <t>2024-04-11</t>
  </si>
  <si>
    <t>2024-09-07</t>
  </si>
  <si>
    <t>2024-05-02</t>
  </si>
  <si>
    <t>2024-03-29</t>
  </si>
  <si>
    <t>2024-09-15</t>
  </si>
  <si>
    <t>2024-03-26</t>
  </si>
  <si>
    <t>2024-08-07</t>
  </si>
  <si>
    <t>2024-01-02</t>
  </si>
  <si>
    <t>2024-10-16</t>
  </si>
  <si>
    <t>2024-08-23</t>
  </si>
  <si>
    <t>2024-04-13</t>
  </si>
  <si>
    <t>2024-07-09</t>
  </si>
  <si>
    <t>2024-08-15</t>
  </si>
  <si>
    <t>2024-03-08</t>
  </si>
  <si>
    <t>2024-07-19</t>
  </si>
  <si>
    <t>2024-11-28</t>
  </si>
  <si>
    <t>2024-08-10</t>
  </si>
  <si>
    <t>2024-01-16</t>
  </si>
  <si>
    <t>2024-11-17</t>
  </si>
  <si>
    <t>2024-01-19</t>
  </si>
  <si>
    <t>2024-01-05</t>
  </si>
  <si>
    <t>2024-01-13</t>
  </si>
  <si>
    <t>2024-07-01</t>
  </si>
  <si>
    <t>2024-01-07</t>
  </si>
  <si>
    <t>2024-01-10</t>
  </si>
  <si>
    <t>2024-05-23</t>
  </si>
  <si>
    <t>2024-12-02</t>
  </si>
  <si>
    <t>2024-10-29</t>
  </si>
  <si>
    <t>2024-09-09</t>
  </si>
  <si>
    <t>2024-03-31</t>
  </si>
  <si>
    <t>2024-07-05</t>
  </si>
  <si>
    <t>2024-11-10</t>
  </si>
  <si>
    <t>2024-09-11</t>
  </si>
  <si>
    <t>2024-11-21</t>
  </si>
  <si>
    <t>2024-10-22</t>
  </si>
  <si>
    <t>2024-02-23</t>
  </si>
  <si>
    <t>2024-02-16</t>
  </si>
  <si>
    <t>2024-02-19</t>
  </si>
  <si>
    <t>2024-03-14</t>
  </si>
  <si>
    <t>2024-09-25</t>
  </si>
  <si>
    <t>2024-07-03</t>
  </si>
  <si>
    <t>2024-10-27</t>
  </si>
  <si>
    <t>2024-06-05</t>
  </si>
  <si>
    <t>2024-05-24</t>
  </si>
  <si>
    <t>2024-11-03</t>
  </si>
  <si>
    <t>2024-05-12</t>
  </si>
  <si>
    <t>2024-04-03</t>
  </si>
  <si>
    <t>2024-09-03</t>
  </si>
  <si>
    <t>2024-08-21</t>
  </si>
  <si>
    <t>2024-10-18</t>
  </si>
  <si>
    <t>2024-11-09</t>
  </si>
  <si>
    <t>2024-02-15</t>
  </si>
  <si>
    <t>2024-08-19</t>
  </si>
  <si>
    <t>2024-05-29</t>
  </si>
  <si>
    <t>2024-04-20</t>
  </si>
  <si>
    <t>2024-07-30</t>
  </si>
  <si>
    <t>2024-02-01</t>
  </si>
  <si>
    <t>2024-11-11</t>
  </si>
  <si>
    <t>2024-04-09</t>
  </si>
  <si>
    <t>2024-05-10</t>
  </si>
  <si>
    <t>2024-03-01</t>
  </si>
  <si>
    <t>2024-10-06</t>
  </si>
  <si>
    <t>2024-07-02</t>
  </si>
  <si>
    <t>2024-12-05</t>
  </si>
  <si>
    <t>2024-05-15</t>
  </si>
  <si>
    <t>2024-07-12</t>
  </si>
  <si>
    <t>2024-12-13</t>
  </si>
  <si>
    <t>2024-12-03</t>
  </si>
  <si>
    <t>2024-06-22</t>
  </si>
  <si>
    <t>2024-11-02</t>
  </si>
  <si>
    <t>2024-01-03</t>
  </si>
  <si>
    <t>2024-06-23</t>
  </si>
  <si>
    <t>2024-10-15</t>
  </si>
  <si>
    <t>2024-08-31</t>
  </si>
  <si>
    <t>2024-04-07</t>
  </si>
  <si>
    <t>2024-05-07</t>
  </si>
  <si>
    <t>2024-06-26</t>
  </si>
  <si>
    <t>2024-04-17</t>
  </si>
  <si>
    <t>2024-04-10</t>
  </si>
  <si>
    <t>2024-11-18</t>
  </si>
  <si>
    <t>2024-11-06</t>
  </si>
  <si>
    <t>2024-07-21</t>
  </si>
  <si>
    <t>2024-08-14</t>
  </si>
  <si>
    <t>2024-01-26</t>
  </si>
  <si>
    <t>2024-08-27</t>
  </si>
  <si>
    <t>2024-12-15</t>
  </si>
  <si>
    <t>2024-02-20</t>
  </si>
  <si>
    <t>2024-04-21</t>
  </si>
  <si>
    <t>2024-06-20</t>
  </si>
  <si>
    <t>2024-05-25</t>
  </si>
  <si>
    <t>2024-11-05</t>
  </si>
  <si>
    <t>2024-06-11</t>
  </si>
  <si>
    <t>2024-12-18</t>
  </si>
  <si>
    <t>2024-09-18</t>
  </si>
  <si>
    <t>2024-06-02</t>
  </si>
  <si>
    <t>2024-02-29</t>
  </si>
  <si>
    <t>2024-02-22</t>
  </si>
  <si>
    <t>2024-03-28</t>
  </si>
  <si>
    <t>2024-12-21</t>
  </si>
  <si>
    <t>2024-10-24</t>
  </si>
  <si>
    <t>2024-09-29</t>
  </si>
  <si>
    <t>2024-04-01</t>
  </si>
  <si>
    <t>2024-02-07</t>
  </si>
  <si>
    <t>2024-02-06</t>
  </si>
  <si>
    <t>2024-04-22</t>
  </si>
  <si>
    <t>2024-07-08</t>
  </si>
  <si>
    <t>2024-01-17</t>
  </si>
  <si>
    <t>2024-10-13</t>
  </si>
  <si>
    <t>2024-04-06</t>
  </si>
  <si>
    <t>2024-06-03</t>
  </si>
  <si>
    <t>2024-03-10</t>
  </si>
  <si>
    <t>2024-09-02</t>
  </si>
  <si>
    <t>2024-06-24</t>
  </si>
  <si>
    <t>2024-08-08</t>
  </si>
  <si>
    <t>2024-09-16</t>
  </si>
  <si>
    <t>2024-06-14</t>
  </si>
  <si>
    <t>2024-03-18</t>
  </si>
  <si>
    <t>2024-12-11</t>
  </si>
  <si>
    <t>2024-09-19</t>
  </si>
  <si>
    <t>North</t>
  </si>
  <si>
    <t>West</t>
  </si>
  <si>
    <t>East</t>
  </si>
  <si>
    <t>South</t>
  </si>
  <si>
    <t>Petrol</t>
  </si>
  <si>
    <t>Diesel</t>
  </si>
  <si>
    <t>Lubricant</t>
  </si>
  <si>
    <t>Kerosene</t>
  </si>
  <si>
    <t>Customer_95</t>
  </si>
  <si>
    <t>Customer_5</t>
  </si>
  <si>
    <t>Customer_29</t>
  </si>
  <si>
    <t>Customer_36</t>
  </si>
  <si>
    <t>Customer_46</t>
  </si>
  <si>
    <t>Customer_11</t>
  </si>
  <si>
    <t>Customer_6</t>
  </si>
  <si>
    <t>Customer_59</t>
  </si>
  <si>
    <t>Customer_69</t>
  </si>
  <si>
    <t>Customer_99</t>
  </si>
  <si>
    <t>Customer_28</t>
  </si>
  <si>
    <t>Customer_34</t>
  </si>
  <si>
    <t>Customer_47</t>
  </si>
  <si>
    <t>Customer_81</t>
  </si>
  <si>
    <t>Customer_71</t>
  </si>
  <si>
    <t>Customer_38</t>
  </si>
  <si>
    <t>Customer_63</t>
  </si>
  <si>
    <t>Customer_31</t>
  </si>
  <si>
    <t>Customer_85</t>
  </si>
  <si>
    <t>Customer_92</t>
  </si>
  <si>
    <t>Customer_32</t>
  </si>
  <si>
    <t>Customer_10</t>
  </si>
  <si>
    <t>Customer_61</t>
  </si>
  <si>
    <t>Customer_60</t>
  </si>
  <si>
    <t>Customer_25</t>
  </si>
  <si>
    <t>Customer_57</t>
  </si>
  <si>
    <t>Customer_22</t>
  </si>
  <si>
    <t>Customer_1</t>
  </si>
  <si>
    <t>Customer_20</t>
  </si>
  <si>
    <t>Customer_8</t>
  </si>
  <si>
    <t>Customer_24</t>
  </si>
  <si>
    <t>Customer_80</t>
  </si>
  <si>
    <t>Customer_86</t>
  </si>
  <si>
    <t>Customer_41</t>
  </si>
  <si>
    <t>Customer_65</t>
  </si>
  <si>
    <t>Customer_21</t>
  </si>
  <si>
    <t>Customer_37</t>
  </si>
  <si>
    <t>Customer_33</t>
  </si>
  <si>
    <t>Customer_15</t>
  </si>
  <si>
    <t>Customer_17</t>
  </si>
  <si>
    <t>Customer_88</t>
  </si>
  <si>
    <t>Customer_35</t>
  </si>
  <si>
    <t>Customer_52</t>
  </si>
  <si>
    <t>Customer_87</t>
  </si>
  <si>
    <t>Customer_74</t>
  </si>
  <si>
    <t>Customer_56</t>
  </si>
  <si>
    <t>Customer_66</t>
  </si>
  <si>
    <t>Customer_26</t>
  </si>
  <si>
    <t>Customer_54</t>
  </si>
  <si>
    <t>Customer_84</t>
  </si>
  <si>
    <t>Customer_72</t>
  </si>
  <si>
    <t>Customer_79</t>
  </si>
  <si>
    <t>Customer_43</t>
  </si>
  <si>
    <t>Customer_98</t>
  </si>
  <si>
    <t>Customer_44</t>
  </si>
  <si>
    <t>Customer_76</t>
  </si>
  <si>
    <t>Customer_100</t>
  </si>
  <si>
    <t>Customer_40</t>
  </si>
  <si>
    <t>Customer_90</t>
  </si>
  <si>
    <t>Customer_67</t>
  </si>
  <si>
    <t>Customer_83</t>
  </si>
  <si>
    <t>Customer_96</t>
  </si>
  <si>
    <t>Customer_73</t>
  </si>
  <si>
    <t>Customer_58</t>
  </si>
  <si>
    <t>Customer_4</t>
  </si>
  <si>
    <t>Customer_82</t>
  </si>
  <si>
    <t>Customer_12</t>
  </si>
  <si>
    <t>Customer_53</t>
  </si>
  <si>
    <t>Customer_27</t>
  </si>
  <si>
    <t>Customer_50</t>
  </si>
  <si>
    <t>Customer_42</t>
  </si>
  <si>
    <t>Customer_68</t>
  </si>
  <si>
    <t>Customer_39</t>
  </si>
  <si>
    <t>Customer_78</t>
  </si>
  <si>
    <t>Customer_23</t>
  </si>
  <si>
    <t>Customer_19</t>
  </si>
  <si>
    <t>Customer_2</t>
  </si>
  <si>
    <t>Customer_77</t>
  </si>
  <si>
    <t>Customer_55</t>
  </si>
  <si>
    <t>Customer_14</t>
  </si>
  <si>
    <t>Customer_93</t>
  </si>
  <si>
    <t>Customer_45</t>
  </si>
  <si>
    <t>Customer_91</t>
  </si>
  <si>
    <t>Customer_89</t>
  </si>
  <si>
    <t>Customer_51</t>
  </si>
  <si>
    <t>Customer_7</t>
  </si>
  <si>
    <t>Customer_18</t>
  </si>
  <si>
    <t>Customer_9</t>
  </si>
  <si>
    <t>Customer_16</t>
  </si>
  <si>
    <t>Customer_64</t>
  </si>
  <si>
    <t>Customer_75</t>
  </si>
  <si>
    <t>Customer_13</t>
  </si>
  <si>
    <t>Customer_97</t>
  </si>
  <si>
    <t>Customer_49</t>
  </si>
  <si>
    <t>Customer_30</t>
  </si>
  <si>
    <t>Customer_48</t>
  </si>
  <si>
    <t>Customer_3</t>
  </si>
  <si>
    <t>Customer_62</t>
  </si>
  <si>
    <t>Customer_94</t>
  </si>
  <si>
    <t>Customer_70</t>
  </si>
  <si>
    <t>Rep_9</t>
  </si>
  <si>
    <t>Rep_1</t>
  </si>
  <si>
    <t>Rep_15</t>
  </si>
  <si>
    <t>Rep_5</t>
  </si>
  <si>
    <t>Rep_12</t>
  </si>
  <si>
    <t>Rep_18</t>
  </si>
  <si>
    <t>Rep_8</t>
  </si>
  <si>
    <t>Rep_2</t>
  </si>
  <si>
    <t>Rep_19</t>
  </si>
  <si>
    <t>Rep_6</t>
  </si>
  <si>
    <t>Rep_14</t>
  </si>
  <si>
    <t>Rep_10</t>
  </si>
  <si>
    <t>Rep_16</t>
  </si>
  <si>
    <t>Rep_13</t>
  </si>
  <si>
    <t>Rep_7</t>
  </si>
  <si>
    <t>Rep_3</t>
  </si>
  <si>
    <t>Rep_11</t>
  </si>
  <si>
    <t>Rep_4</t>
  </si>
  <si>
    <t>Rep_20</t>
  </si>
  <si>
    <t>Rep_17</t>
  </si>
  <si>
    <t>Month</t>
  </si>
  <si>
    <t>Year</t>
  </si>
  <si>
    <t>TOTAL REVENUE</t>
  </si>
  <si>
    <t>AVERAGE REVENUE</t>
  </si>
  <si>
    <t>TOTAL PROFIT</t>
  </si>
  <si>
    <t>PROFIT MARGIN</t>
  </si>
  <si>
    <t>KPI</t>
  </si>
  <si>
    <t>REVENUE BY REGION</t>
  </si>
  <si>
    <t>Row Labels</t>
  </si>
  <si>
    <t>Grand Total</t>
  </si>
  <si>
    <t>Sum of Revenue</t>
  </si>
  <si>
    <t>PROFIT BY PRODUCT</t>
  </si>
  <si>
    <t>Sum of Profit</t>
  </si>
  <si>
    <t>MONTHLY SALES TREND</t>
  </si>
  <si>
    <t>Jan</t>
  </si>
  <si>
    <t>Feb</t>
  </si>
  <si>
    <t>Mar</t>
  </si>
  <si>
    <t>Apr</t>
  </si>
  <si>
    <t>May</t>
  </si>
  <si>
    <t>Jun</t>
  </si>
  <si>
    <t>Jul</t>
  </si>
  <si>
    <t>Aug</t>
  </si>
  <si>
    <t>Sep</t>
  </si>
  <si>
    <t>Oct</t>
  </si>
  <si>
    <t>Nov</t>
  </si>
  <si>
    <t>Dec</t>
  </si>
  <si>
    <t>SALES REP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</si>
</sst>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0" xfId="0" applyFont="1"/>
    <xf numFmtId="9" fontId="0" fillId="0" borderId="0" xfId="1" applyFont="1"/>
    <xf numFmtId="0" fontId="0" fillId="0" borderId="0" xfId="0" pivotButton="1"/>
    <xf numFmtId="0" fontId="0" fillId="0" borderId="0" xfId="0" applyAlignment="1">
      <alignment horizontal="left"/>
    </xf>
    <xf numFmtId="0" fontId="1" fillId="0" borderId="0" xfId="0" applyFont="1" applyAlignment="1">
      <alignment horizontal="left"/>
    </xf>
    <xf numFmtId="10" fontId="0" fillId="0" borderId="0" xfId="0" applyNumberFormat="1"/>
  </cellXfs>
  <cellStyles count="2">
    <cellStyle name="Normal" xfId="0" builtinId="0"/>
    <cellStyle name="Percent" xfId="1" builtinId="5"/>
  </cellStyles>
  <dxfs count="5">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[Oil and Gas Dataset- Cynthia.xlsx]Analysis!PivotTable1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c:f>
              <c:strCache>
                <c:ptCount val="1"/>
                <c:pt idx="0">
                  <c:v>Total</c:v>
                </c:pt>
              </c:strCache>
            </c:strRef>
          </c:tx>
          <c:spPr>
            <a:solidFill>
              <a:schemeClr val="accent1"/>
            </a:solidFill>
            <a:ln>
              <a:noFill/>
            </a:ln>
            <a:effectLst/>
          </c:spPr>
          <c:invertIfNegative val="0"/>
          <c:cat>
            <c:strRef>
              <c:f>Analysis!$A$9:$A$13</c:f>
              <c:strCache>
                <c:ptCount val="4"/>
                <c:pt idx="0">
                  <c:v>East</c:v>
                </c:pt>
                <c:pt idx="1">
                  <c:v>North</c:v>
                </c:pt>
                <c:pt idx="2">
                  <c:v>South</c:v>
                </c:pt>
                <c:pt idx="3">
                  <c:v>West</c:v>
                </c:pt>
              </c:strCache>
            </c:strRef>
          </c:cat>
          <c:val>
            <c:numRef>
              <c:f>Analysis!$B$9:$B$13</c:f>
              <c:numCache>
                <c:formatCode>General</c:formatCode>
                <c:ptCount val="4"/>
                <c:pt idx="0">
                  <c:v>738223.92000000039</c:v>
                </c:pt>
                <c:pt idx="1">
                  <c:v>721530.21999999939</c:v>
                </c:pt>
                <c:pt idx="2">
                  <c:v>919517.37999999919</c:v>
                </c:pt>
                <c:pt idx="3">
                  <c:v>854792.76000000036</c:v>
                </c:pt>
              </c:numCache>
            </c:numRef>
          </c:val>
          <c:extLst>
            <c:ext xmlns:c16="http://schemas.microsoft.com/office/drawing/2014/chart" uri="{C3380CC4-5D6E-409C-BE32-E72D297353CC}">
              <c16:uniqueId val="{00000000-1692-4FAD-8B54-6ECCC03E2BA9}"/>
            </c:ext>
          </c:extLst>
        </c:ser>
        <c:dLbls>
          <c:showLegendKey val="0"/>
          <c:showVal val="0"/>
          <c:showCatName val="0"/>
          <c:showSerName val="0"/>
          <c:showPercent val="0"/>
          <c:showBubbleSize val="0"/>
        </c:dLbls>
        <c:gapWidth val="182"/>
        <c:axId val="497843488"/>
        <c:axId val="497859808"/>
      </c:barChart>
      <c:catAx>
        <c:axId val="497843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59808"/>
        <c:crosses val="autoZero"/>
        <c:auto val="1"/>
        <c:lblAlgn val="ctr"/>
        <c:lblOffset val="100"/>
        <c:noMultiLvlLbl val="0"/>
      </c:catAx>
      <c:valAx>
        <c:axId val="49785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4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[Oil and Gas Dataset- Cynthia.xlsx]Analysis!PivotTable2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Analysis!$B$16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F0-4930-8A6D-DED45D4B9A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F0-4930-8A6D-DED45D4B9A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F0-4930-8A6D-DED45D4B9A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F0-4930-8A6D-DED45D4B9A9F}"/>
              </c:ext>
            </c:extLst>
          </c:dPt>
          <c:cat>
            <c:strRef>
              <c:f>Analysis!$A$17:$A$21</c:f>
              <c:strCache>
                <c:ptCount val="4"/>
                <c:pt idx="0">
                  <c:v>Diesel</c:v>
                </c:pt>
                <c:pt idx="1">
                  <c:v>Kerosene</c:v>
                </c:pt>
                <c:pt idx="2">
                  <c:v>Lubricant</c:v>
                </c:pt>
                <c:pt idx="3">
                  <c:v>Petrol</c:v>
                </c:pt>
              </c:strCache>
            </c:strRef>
          </c:cat>
          <c:val>
            <c:numRef>
              <c:f>Analysis!$B$17:$B$21</c:f>
              <c:numCache>
                <c:formatCode>0.00%</c:formatCode>
                <c:ptCount val="4"/>
                <c:pt idx="0">
                  <c:v>0.25909470359859998</c:v>
                </c:pt>
                <c:pt idx="1">
                  <c:v>0.24775050995467562</c:v>
                </c:pt>
                <c:pt idx="2">
                  <c:v>0.23499103054872136</c:v>
                </c:pt>
                <c:pt idx="3">
                  <c:v>0.258163755898003</c:v>
                </c:pt>
              </c:numCache>
            </c:numRef>
          </c:val>
          <c:extLst>
            <c:ext xmlns:c16="http://schemas.microsoft.com/office/drawing/2014/chart" uri="{C3380CC4-5D6E-409C-BE32-E72D297353CC}">
              <c16:uniqueId val="{00000000-50B5-45E6-ABE7-5A6BE38E44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[Oil and Gas Dataset- Cynthia.xlsx]Analysis!PivotTable4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Analysis!$B$24</c:f>
              <c:strCache>
                <c:ptCount val="1"/>
                <c:pt idx="0">
                  <c:v>Total</c:v>
                </c:pt>
              </c:strCache>
            </c:strRef>
          </c:tx>
          <c:spPr>
            <a:ln w="28575" cap="rnd">
              <a:solidFill>
                <a:schemeClr val="accent1"/>
              </a:solidFill>
              <a:round/>
            </a:ln>
            <a:effectLst/>
          </c:spPr>
          <c:marker>
            <c:symbol val="none"/>
          </c:marker>
          <c:cat>
            <c:strRef>
              <c:f>Analysis!$A$25:$A$37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Analysis!$B$25:$B$37</c:f>
              <c:numCache>
                <c:formatCode>General</c:formatCode>
                <c:ptCount val="12"/>
                <c:pt idx="0">
                  <c:v>271442.18</c:v>
                </c:pt>
                <c:pt idx="1">
                  <c:v>245238.7000000001</c:v>
                </c:pt>
                <c:pt idx="2">
                  <c:v>316186.57</c:v>
                </c:pt>
                <c:pt idx="3">
                  <c:v>202221.27999999994</c:v>
                </c:pt>
                <c:pt idx="4">
                  <c:v>264537.8000000001</c:v>
                </c:pt>
                <c:pt idx="5">
                  <c:v>267683.96000000008</c:v>
                </c:pt>
                <c:pt idx="6">
                  <c:v>304897.17000000016</c:v>
                </c:pt>
                <c:pt idx="7">
                  <c:v>323980.09000000008</c:v>
                </c:pt>
                <c:pt idx="8">
                  <c:v>203063.4</c:v>
                </c:pt>
                <c:pt idx="9">
                  <c:v>276844.00999999995</c:v>
                </c:pt>
                <c:pt idx="10">
                  <c:v>259783.36000000004</c:v>
                </c:pt>
                <c:pt idx="11">
                  <c:v>298185.75999999995</c:v>
                </c:pt>
              </c:numCache>
            </c:numRef>
          </c:val>
          <c:smooth val="0"/>
          <c:extLst>
            <c:ext xmlns:c16="http://schemas.microsoft.com/office/drawing/2014/chart" uri="{C3380CC4-5D6E-409C-BE32-E72D297353CC}">
              <c16:uniqueId val="{00000000-9530-4EFB-9C1E-18FDEB10F7F1}"/>
            </c:ext>
          </c:extLst>
        </c:ser>
        <c:dLbls>
          <c:showLegendKey val="0"/>
          <c:showVal val="0"/>
          <c:showCatName val="0"/>
          <c:showSerName val="0"/>
          <c:showPercent val="0"/>
          <c:showBubbleSize val="0"/>
        </c:dLbls>
        <c:smooth val="0"/>
        <c:axId val="487830784"/>
        <c:axId val="487839424"/>
      </c:lineChart>
      <c:catAx>
        <c:axId val="48783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39424"/>
        <c:crosses val="autoZero"/>
        <c:auto val="1"/>
        <c:lblAlgn val="ctr"/>
        <c:lblOffset val="100"/>
        <c:noMultiLvlLbl val="0"/>
      </c:catAx>
      <c:valAx>
        <c:axId val="48783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3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[Oil and Gas Dataset- Cynthia.xlsx]Analysis!PivotTable5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Analysis!$B$40</c:f>
              <c:strCache>
                <c:ptCount val="1"/>
                <c:pt idx="0">
                  <c:v>Sum of Revenue</c:v>
                </c:pt>
              </c:strCache>
            </c:strRef>
          </c:tx>
          <c:spPr>
            <a:solidFill>
              <a:schemeClr val="accent1"/>
            </a:solidFill>
            <a:ln>
              <a:noFill/>
            </a:ln>
            <a:effectLst/>
          </c:spPr>
          <c:invertIfNegative val="0"/>
          <c:cat>
            <c:strRef>
              <c:f>Analysis!$A$41:$A$61</c:f>
              <c:strCache>
                <c:ptCount val="20"/>
                <c:pt idx="0">
                  <c:v>Rep_1</c:v>
                </c:pt>
                <c:pt idx="1">
                  <c:v>Rep_10</c:v>
                </c:pt>
                <c:pt idx="2">
                  <c:v>Rep_11</c:v>
                </c:pt>
                <c:pt idx="3">
                  <c:v>Rep_12</c:v>
                </c:pt>
                <c:pt idx="4">
                  <c:v>Rep_13</c:v>
                </c:pt>
                <c:pt idx="5">
                  <c:v>Rep_14</c:v>
                </c:pt>
                <c:pt idx="6">
                  <c:v>Rep_15</c:v>
                </c:pt>
                <c:pt idx="7">
                  <c:v>Rep_16</c:v>
                </c:pt>
                <c:pt idx="8">
                  <c:v>Rep_17</c:v>
                </c:pt>
                <c:pt idx="9">
                  <c:v>Rep_18</c:v>
                </c:pt>
                <c:pt idx="10">
                  <c:v>Rep_19</c:v>
                </c:pt>
                <c:pt idx="11">
                  <c:v>Rep_2</c:v>
                </c:pt>
                <c:pt idx="12">
                  <c:v>Rep_20</c:v>
                </c:pt>
                <c:pt idx="13">
                  <c:v>Rep_3</c:v>
                </c:pt>
                <c:pt idx="14">
                  <c:v>Rep_4</c:v>
                </c:pt>
                <c:pt idx="15">
                  <c:v>Rep_5</c:v>
                </c:pt>
                <c:pt idx="16">
                  <c:v>Rep_6</c:v>
                </c:pt>
                <c:pt idx="17">
                  <c:v>Rep_7</c:v>
                </c:pt>
                <c:pt idx="18">
                  <c:v>Rep_8</c:v>
                </c:pt>
                <c:pt idx="19">
                  <c:v>Rep_9</c:v>
                </c:pt>
              </c:strCache>
            </c:strRef>
          </c:cat>
          <c:val>
            <c:numRef>
              <c:f>Analysis!$B$41:$B$61</c:f>
              <c:numCache>
                <c:formatCode>General</c:formatCode>
                <c:ptCount val="20"/>
                <c:pt idx="0">
                  <c:v>119425.2</c:v>
                </c:pt>
                <c:pt idx="1">
                  <c:v>172363.71000000002</c:v>
                </c:pt>
                <c:pt idx="2">
                  <c:v>152423.44</c:v>
                </c:pt>
                <c:pt idx="3">
                  <c:v>191546.1700000001</c:v>
                </c:pt>
                <c:pt idx="4">
                  <c:v>189869.94</c:v>
                </c:pt>
                <c:pt idx="5">
                  <c:v>160270.71000000002</c:v>
                </c:pt>
                <c:pt idx="6">
                  <c:v>151644.22000000003</c:v>
                </c:pt>
                <c:pt idx="7">
                  <c:v>200638.76999999996</c:v>
                </c:pt>
                <c:pt idx="8">
                  <c:v>149401.71999999997</c:v>
                </c:pt>
                <c:pt idx="9">
                  <c:v>175371.91999999998</c:v>
                </c:pt>
                <c:pt idx="10">
                  <c:v>144188.4</c:v>
                </c:pt>
                <c:pt idx="11">
                  <c:v>168763.93999999997</c:v>
                </c:pt>
                <c:pt idx="12">
                  <c:v>164953.81</c:v>
                </c:pt>
                <c:pt idx="13">
                  <c:v>196728.50000000006</c:v>
                </c:pt>
                <c:pt idx="14">
                  <c:v>140755.5</c:v>
                </c:pt>
                <c:pt idx="15">
                  <c:v>133525.02999999997</c:v>
                </c:pt>
                <c:pt idx="16">
                  <c:v>153675.99000000002</c:v>
                </c:pt>
                <c:pt idx="17">
                  <c:v>166619.27000000002</c:v>
                </c:pt>
                <c:pt idx="18">
                  <c:v>151504.12000000002</c:v>
                </c:pt>
                <c:pt idx="19">
                  <c:v>150393.92000000004</c:v>
                </c:pt>
              </c:numCache>
            </c:numRef>
          </c:val>
          <c:extLst>
            <c:ext xmlns:c16="http://schemas.microsoft.com/office/drawing/2014/chart" uri="{C3380CC4-5D6E-409C-BE32-E72D297353CC}">
              <c16:uniqueId val="{00000000-8CB8-464E-9BB0-6CB43C8500CA}"/>
            </c:ext>
          </c:extLst>
        </c:ser>
        <c:ser>
          <c:idx val="1"/>
          <c:order val="1"/>
          <c:tx>
            <c:strRef>
              <c:f>Analysis!$C$40</c:f>
              <c:strCache>
                <c:ptCount val="1"/>
                <c:pt idx="0">
                  <c:v>Sum of Profit</c:v>
                </c:pt>
              </c:strCache>
            </c:strRef>
          </c:tx>
          <c:spPr>
            <a:solidFill>
              <a:schemeClr val="accent2"/>
            </a:solidFill>
            <a:ln>
              <a:noFill/>
            </a:ln>
            <a:effectLst/>
          </c:spPr>
          <c:invertIfNegative val="0"/>
          <c:cat>
            <c:strRef>
              <c:f>Analysis!$A$41:$A$61</c:f>
              <c:strCache>
                <c:ptCount val="20"/>
                <c:pt idx="0">
                  <c:v>Rep_1</c:v>
                </c:pt>
                <c:pt idx="1">
                  <c:v>Rep_10</c:v>
                </c:pt>
                <c:pt idx="2">
                  <c:v>Rep_11</c:v>
                </c:pt>
                <c:pt idx="3">
                  <c:v>Rep_12</c:v>
                </c:pt>
                <c:pt idx="4">
                  <c:v>Rep_13</c:v>
                </c:pt>
                <c:pt idx="5">
                  <c:v>Rep_14</c:v>
                </c:pt>
                <c:pt idx="6">
                  <c:v>Rep_15</c:v>
                </c:pt>
                <c:pt idx="7">
                  <c:v>Rep_16</c:v>
                </c:pt>
                <c:pt idx="8">
                  <c:v>Rep_17</c:v>
                </c:pt>
                <c:pt idx="9">
                  <c:v>Rep_18</c:v>
                </c:pt>
                <c:pt idx="10">
                  <c:v>Rep_19</c:v>
                </c:pt>
                <c:pt idx="11">
                  <c:v>Rep_2</c:v>
                </c:pt>
                <c:pt idx="12">
                  <c:v>Rep_20</c:v>
                </c:pt>
                <c:pt idx="13">
                  <c:v>Rep_3</c:v>
                </c:pt>
                <c:pt idx="14">
                  <c:v>Rep_4</c:v>
                </c:pt>
                <c:pt idx="15">
                  <c:v>Rep_5</c:v>
                </c:pt>
                <c:pt idx="16">
                  <c:v>Rep_6</c:v>
                </c:pt>
                <c:pt idx="17">
                  <c:v>Rep_7</c:v>
                </c:pt>
                <c:pt idx="18">
                  <c:v>Rep_8</c:v>
                </c:pt>
                <c:pt idx="19">
                  <c:v>Rep_9</c:v>
                </c:pt>
              </c:strCache>
            </c:strRef>
          </c:cat>
          <c:val>
            <c:numRef>
              <c:f>Analysis!$C$41:$C$61</c:f>
              <c:numCache>
                <c:formatCode>General</c:formatCode>
                <c:ptCount val="20"/>
                <c:pt idx="0">
                  <c:v>33481</c:v>
                </c:pt>
                <c:pt idx="1">
                  <c:v>48550.859999999993</c:v>
                </c:pt>
                <c:pt idx="2">
                  <c:v>43274.560000000005</c:v>
                </c:pt>
                <c:pt idx="3">
                  <c:v>51888.280000000013</c:v>
                </c:pt>
                <c:pt idx="4">
                  <c:v>52016.84</c:v>
                </c:pt>
                <c:pt idx="5">
                  <c:v>42208.3</c:v>
                </c:pt>
                <c:pt idx="6">
                  <c:v>44418.329999999987</c:v>
                </c:pt>
                <c:pt idx="7">
                  <c:v>53261.419999999991</c:v>
                </c:pt>
                <c:pt idx="8">
                  <c:v>39531.780000000006</c:v>
                </c:pt>
                <c:pt idx="9">
                  <c:v>49478.299999999996</c:v>
                </c:pt>
                <c:pt idx="10">
                  <c:v>40496.759999999995</c:v>
                </c:pt>
                <c:pt idx="11">
                  <c:v>46598.959999999992</c:v>
                </c:pt>
                <c:pt idx="12">
                  <c:v>47926.899999999994</c:v>
                </c:pt>
                <c:pt idx="13">
                  <c:v>53669.429999999993</c:v>
                </c:pt>
                <c:pt idx="14">
                  <c:v>39232.920000000006</c:v>
                </c:pt>
                <c:pt idx="15">
                  <c:v>36060.89</c:v>
                </c:pt>
                <c:pt idx="16">
                  <c:v>41774.6</c:v>
                </c:pt>
                <c:pt idx="17">
                  <c:v>47911.049999999996</c:v>
                </c:pt>
                <c:pt idx="18">
                  <c:v>41027.030000000006</c:v>
                </c:pt>
                <c:pt idx="19">
                  <c:v>40947.69</c:v>
                </c:pt>
              </c:numCache>
            </c:numRef>
          </c:val>
          <c:extLst>
            <c:ext xmlns:c16="http://schemas.microsoft.com/office/drawing/2014/chart" uri="{C3380CC4-5D6E-409C-BE32-E72D297353CC}">
              <c16:uniqueId val="{00000001-8CB8-464E-9BB0-6CB43C8500CA}"/>
            </c:ext>
          </c:extLst>
        </c:ser>
        <c:dLbls>
          <c:showLegendKey val="0"/>
          <c:showVal val="0"/>
          <c:showCatName val="0"/>
          <c:showSerName val="0"/>
          <c:showPercent val="0"/>
          <c:showBubbleSize val="0"/>
        </c:dLbls>
        <c:gapWidth val="219"/>
        <c:overlap val="-27"/>
        <c:axId val="497845888"/>
        <c:axId val="497852128"/>
      </c:barChart>
      <c:catAx>
        <c:axId val="49784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52128"/>
        <c:crosses val="autoZero"/>
        <c:auto val="1"/>
        <c:lblAlgn val="ctr"/>
        <c:lblOffset val="100"/>
        <c:noMultiLvlLbl val="0"/>
      </c:catAx>
      <c:valAx>
        <c:axId val="49785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4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34713</xdr:colOff>
      <xdr:row>13</xdr:row>
      <xdr:rowOff>44613</xdr:rowOff>
    </xdr:from>
    <xdr:to>
      <xdr:col>13</xdr:col>
      <xdr:colOff>29647</xdr:colOff>
      <xdr:row>26</xdr:row>
      <xdr:rowOff>87291</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969C755C-362E-B8F3-48AB-F5BF6C1C321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988213" y="2521113"/>
              <a:ext cx="1836434" cy="2519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56902</xdr:colOff>
      <xdr:row>4</xdr:row>
      <xdr:rowOff>4322</xdr:rowOff>
    </xdr:from>
    <xdr:to>
      <xdr:col>16</xdr:col>
      <xdr:colOff>56903</xdr:colOff>
      <xdr:row>11</xdr:row>
      <xdr:rowOff>148167</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C78FE69-B094-92E5-1C57-8B82C1976A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51902" y="766322"/>
              <a:ext cx="1841501" cy="14773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24021</xdr:colOff>
      <xdr:row>4</xdr:row>
      <xdr:rowOff>74456</xdr:rowOff>
    </xdr:from>
    <xdr:to>
      <xdr:col>13</xdr:col>
      <xdr:colOff>8846</xdr:colOff>
      <xdr:row>12</xdr:row>
      <xdr:rowOff>12199</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CCFDDC9E-DD9B-62C5-16CE-F6E93FEB6D8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977521" y="836456"/>
              <a:ext cx="1826325" cy="1461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83326</xdr:colOff>
      <xdr:row>13</xdr:row>
      <xdr:rowOff>65035</xdr:rowOff>
    </xdr:from>
    <xdr:to>
      <xdr:col>16</xdr:col>
      <xdr:colOff>83327</xdr:colOff>
      <xdr:row>26</xdr:row>
      <xdr:rowOff>107712</xdr:rowOff>
    </xdr:to>
    <mc:AlternateContent xmlns:mc="http://schemas.openxmlformats.org/markup-compatibility/2006" xmlns:a14="http://schemas.microsoft.com/office/drawing/2010/main">
      <mc:Choice Requires="a14">
        <xdr:graphicFrame macro="">
          <xdr:nvGraphicFramePr>
            <xdr:cNvPr id="5" name="Sales_Rep">
              <a:extLst>
                <a:ext uri="{FF2B5EF4-FFF2-40B4-BE49-F238E27FC236}">
                  <a16:creationId xmlns:a16="http://schemas.microsoft.com/office/drawing/2014/main" id="{5A14E5C8-1246-DFA4-A8DB-9D7DA8423895}"/>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10878326" y="2541535"/>
              <a:ext cx="1841501" cy="25191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6</xdr:row>
      <xdr:rowOff>84667</xdr:rowOff>
    </xdr:from>
    <xdr:to>
      <xdr:col>8</xdr:col>
      <xdr:colOff>592667</xdr:colOff>
      <xdr:row>19</xdr:row>
      <xdr:rowOff>42332</xdr:rowOff>
    </xdr:to>
    <xdr:graphicFrame macro="">
      <xdr:nvGraphicFramePr>
        <xdr:cNvPr id="6" name="Chart 5">
          <a:extLst>
            <a:ext uri="{FF2B5EF4-FFF2-40B4-BE49-F238E27FC236}">
              <a16:creationId xmlns:a16="http://schemas.microsoft.com/office/drawing/2014/main" id="{A2E73B62-881A-B63A-9004-046D4C178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40899</xdr:colOff>
      <xdr:row>20</xdr:row>
      <xdr:rowOff>113179</xdr:rowOff>
    </xdr:from>
    <xdr:to>
      <xdr:col>8</xdr:col>
      <xdr:colOff>596972</xdr:colOff>
      <xdr:row>34</xdr:row>
      <xdr:rowOff>186151</xdr:rowOff>
    </xdr:to>
    <xdr:graphicFrame macro="">
      <xdr:nvGraphicFramePr>
        <xdr:cNvPr id="7" name="Chart 6">
          <a:extLst>
            <a:ext uri="{FF2B5EF4-FFF2-40B4-BE49-F238E27FC236}">
              <a16:creationId xmlns:a16="http://schemas.microsoft.com/office/drawing/2014/main" id="{0A010230-F60D-9AE7-C989-C3639E7584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206588</xdr:colOff>
      <xdr:row>37</xdr:row>
      <xdr:rowOff>120921</xdr:rowOff>
    </xdr:from>
    <xdr:to>
      <xdr:col>9</xdr:col>
      <xdr:colOff>21168</xdr:colOff>
      <xdr:row>58</xdr:row>
      <xdr:rowOff>84667</xdr:rowOff>
    </xdr:to>
    <xdr:graphicFrame macro="">
      <xdr:nvGraphicFramePr>
        <xdr:cNvPr id="8" name="Chart 7">
          <a:extLst>
            <a:ext uri="{FF2B5EF4-FFF2-40B4-BE49-F238E27FC236}">
              <a16:creationId xmlns:a16="http://schemas.microsoft.com/office/drawing/2014/main" id="{FB9237F3-E434-F5DE-3677-5CC448585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1014154</xdr:colOff>
      <xdr:row>27</xdr:row>
      <xdr:rowOff>155317</xdr:rowOff>
    </xdr:from>
    <xdr:to>
      <xdr:col>22</xdr:col>
      <xdr:colOff>275167</xdr:colOff>
      <xdr:row>55</xdr:row>
      <xdr:rowOff>84667</xdr:rowOff>
    </xdr:to>
    <xdr:graphicFrame macro="">
      <xdr:nvGraphicFramePr>
        <xdr:cNvPr id="9" name="Chart 8">
          <a:extLst>
            <a:ext uri="{FF2B5EF4-FFF2-40B4-BE49-F238E27FC236}">
              <a16:creationId xmlns:a16="http://schemas.microsoft.com/office/drawing/2014/main" id="{2C7C538B-39F9-3B45-2713-F712170B2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64.589464930556" createdVersion="8" refreshedVersion="8" minRefreshableVersion="3" recordCount="1000" xr:uid="{CA8BFE8C-6A4E-4FF7-A71A-BA26419763FB}">
  <cacheSource type="worksheet">
    <worksheetSource name="SalesData"/>
  </cacheSource>
  <cacheFields count="14">
    <cacheField name="Transaction_ID" numFmtId="0">
      <sharedItems containsSemiMixedTypes="0" containsString="0" containsNumber="1" containsInteger="1" minValue="1" maxValue="1000"/>
    </cacheField>
    <cacheField name="Date" numFmtId="0">
      <sharedItems/>
    </cacheField>
    <cacheField name="Month" numFmtId="0">
      <sharedItems count="12">
        <s v="Nov"/>
        <s v="Dec"/>
        <s v="Jan"/>
        <s v="Mar"/>
        <s v="Feb"/>
        <s v="Oct"/>
        <s v="Jul"/>
        <s v="May"/>
        <s v="Jun"/>
        <s v="Aug"/>
        <s v="Apr"/>
        <s v="Sep"/>
      </sharedItems>
    </cacheField>
    <cacheField name="Year" numFmtId="0">
      <sharedItems containsSemiMixedTypes="0" containsString="0" containsNumber="1" containsInteger="1" minValue="2024" maxValue="2024"/>
    </cacheField>
    <cacheField name="Region" numFmtId="0">
      <sharedItems count="4">
        <s v="North"/>
        <s v="West"/>
        <s v="East"/>
        <s v="South"/>
      </sharedItems>
    </cacheField>
    <cacheField name="Product" numFmtId="0">
      <sharedItems count="4">
        <s v="Petrol"/>
        <s v="Diesel"/>
        <s v="Lubricant"/>
        <s v="Kerosene"/>
      </sharedItems>
    </cacheField>
    <cacheField name="Customer" numFmtId="0">
      <sharedItems/>
    </cacheField>
    <cacheField name="Sales_Rep" numFmtId="0">
      <sharedItems count="20">
        <s v="Rep_9"/>
        <s v="Rep_1"/>
        <s v="Rep_15"/>
        <s v="Rep_5"/>
        <s v="Rep_12"/>
        <s v="Rep_18"/>
        <s v="Rep_8"/>
        <s v="Rep_2"/>
        <s v="Rep_19"/>
        <s v="Rep_6"/>
        <s v="Rep_14"/>
        <s v="Rep_10"/>
        <s v="Rep_16"/>
        <s v="Rep_13"/>
        <s v="Rep_7"/>
        <s v="Rep_3"/>
        <s v="Rep_11"/>
        <s v="Rep_4"/>
        <s v="Rep_20"/>
        <s v="Rep_17"/>
      </sharedItems>
    </cacheField>
    <cacheField name="Quantity" numFmtId="0">
      <sharedItems containsSemiMixedTypes="0" containsString="0" containsNumber="1" containsInteger="1" minValue="501" maxValue="5000"/>
    </cacheField>
    <cacheField name="Price_per_Unit" numFmtId="0">
      <sharedItems containsSemiMixedTypes="0" containsString="0" containsNumber="1" minValue="0.8" maxValue="1.5"/>
    </cacheField>
    <cacheField name="Revenue" numFmtId="0">
      <sharedItems containsSemiMixedTypes="0" containsString="0" containsNumber="1" minValue="482.8" maxValue="7399.5"/>
    </cacheField>
    <cacheField name="Cost_per_Unit" numFmtId="0">
      <sharedItems containsSemiMixedTypes="0" containsString="0" containsNumber="1" minValue="0.49" maxValue="1.25"/>
    </cacheField>
    <cacheField name="Total_Cost" numFmtId="0">
      <sharedItems containsSemiMixedTypes="0" containsString="0" containsNumber="1" minValue="334.02" maxValue="6166.25"/>
    </cacheField>
    <cacheField name="Profit" numFmtId="0">
      <sharedItems containsSemiMixedTypes="0" containsString="0" containsNumber="1" minValue="88.8" maxValue="2763.7" count="992">
        <n v="526.26"/>
        <n v="329.42"/>
        <n v="1527.9"/>
        <n v="1040.98"/>
        <n v="799.8"/>
        <n v="986.34"/>
        <n v="803.6"/>
        <n v="677.84"/>
        <n v="680.06"/>
        <n v="641.52"/>
        <n v="800.02"/>
        <n v="882"/>
        <n v="718.52"/>
        <n v="1464.46"/>
        <n v="488.92"/>
        <n v="323.10000000000002"/>
        <n v="2096.1"/>
        <n v="368.16"/>
        <n v="274.8"/>
        <n v="333.36"/>
        <n v="1356.48"/>
        <n v="266.24"/>
        <n v="783.75"/>
        <n v="586.29999999999995"/>
        <n v="411.8"/>
        <n v="235.08"/>
        <n v="1336"/>
        <n v="169.26"/>
        <n v="940.38"/>
        <n v="801.6"/>
        <n v="1084.0999999999999"/>
        <n v="925.05"/>
        <n v="454.08"/>
        <n v="1298.22"/>
        <n v="883.8"/>
        <n v="97.92"/>
        <n v="412.1"/>
        <n v="1584"/>
        <n v="288"/>
        <n v="1001.25"/>
        <n v="301.44"/>
        <n v="687.7"/>
        <n v="395.83"/>
        <n v="544.5"/>
        <n v="362.34"/>
        <n v="697.86"/>
        <n v="581.70000000000005"/>
        <n v="750"/>
        <n v="612.04"/>
        <n v="1734.48"/>
        <n v="852.39"/>
        <n v="620.64"/>
        <n v="929.16"/>
        <n v="1110.2"/>
        <n v="770"/>
        <n v="1367.14"/>
        <n v="937.4"/>
        <n v="454.3"/>
        <n v="91"/>
        <n v="836.8"/>
        <n v="631.58000000000004"/>
        <n v="328.68"/>
        <n v="1438.2"/>
        <n v="997.56"/>
        <n v="852"/>
        <n v="1054.73"/>
        <n v="1640.08"/>
        <n v="687.04"/>
        <n v="876.28"/>
        <n v="444.48"/>
        <n v="180.5"/>
        <n v="954.3"/>
        <n v="913.92"/>
        <n v="384.54"/>
        <n v="589.16999999999996"/>
        <n v="690.24"/>
        <n v="857.76"/>
        <n v="521.85"/>
        <n v="383.04"/>
        <n v="1621.08"/>
        <n v="944.3"/>
        <n v="1045.1600000000001"/>
        <n v="497.04"/>
        <n v="348.29"/>
        <n v="2127.21"/>
        <n v="1056.9000000000001"/>
        <n v="951.65"/>
        <n v="403.2"/>
        <n v="803.42"/>
        <n v="1388.64"/>
        <n v="1564.2"/>
        <n v="1096.78"/>
        <n v="866.81"/>
        <n v="1157.1199999999999"/>
        <n v="258.18"/>
        <n v="446.5"/>
        <n v="1478.66"/>
        <n v="880.11"/>
        <n v="515.02"/>
        <n v="887.84"/>
        <n v="1272.5999999999999"/>
        <n v="665"/>
        <n v="522.45000000000005"/>
        <n v="423.98"/>
        <n v="729.28"/>
        <n v="410.72"/>
        <n v="570.08000000000004"/>
        <n v="1449.71"/>
        <n v="1033.2"/>
        <n v="1498"/>
        <n v="819.63"/>
        <n v="2238.2399999999998"/>
        <n v="1209.5999999999999"/>
        <n v="1206.0899999999999"/>
        <n v="1006.96"/>
        <n v="905.75"/>
        <n v="2168.58"/>
        <n v="243.75"/>
        <n v="1211.01"/>
        <n v="1578.24"/>
        <n v="1257.05"/>
        <n v="125.29"/>
        <n v="1525.86"/>
        <n v="1662.96"/>
        <n v="1598.4"/>
        <n v="1898.52"/>
        <n v="237.65"/>
        <n v="1308.24"/>
        <n v="356.4"/>
        <n v="1709.12"/>
        <n v="379.68"/>
        <n v="1225.1400000000001"/>
        <n v="1088.95"/>
        <n v="1321.65"/>
        <n v="499.32"/>
        <n v="2022.41"/>
        <n v="1676.08"/>
        <n v="1132.75"/>
        <n v="1844.64"/>
        <n v="1290.02"/>
        <n v="938.4"/>
        <n v="181.98"/>
        <n v="527.28"/>
        <n v="1413.21"/>
        <n v="252.64"/>
        <n v="241.54"/>
        <n v="1646.4"/>
        <n v="279.44"/>
        <n v="506.92"/>
        <n v="1996.8"/>
        <n v="804.8"/>
        <n v="1166.7"/>
        <n v="983.44"/>
        <n v="767.03"/>
        <n v="966.25"/>
        <n v="811.2"/>
        <n v="1018.19"/>
        <n v="154.77000000000001"/>
        <n v="602.28"/>
        <n v="678.6"/>
        <n v="609.45000000000005"/>
        <n v="1311.09"/>
        <n v="323.83999999999997"/>
        <n v="246.48"/>
        <n v="251.94"/>
        <n v="1287.44"/>
        <n v="570.22"/>
        <n v="1004.85"/>
        <n v="500.61"/>
        <n v="656.2"/>
        <n v="877.76"/>
        <n v="698.28"/>
        <n v="1204"/>
        <n v="285.93"/>
        <n v="1338.48"/>
        <n v="1256.31"/>
        <n v="791.28"/>
        <n v="2270.17"/>
        <n v="324"/>
        <n v="296.95999999999998"/>
        <n v="508.86"/>
        <n v="762.68"/>
        <n v="850.08"/>
        <n v="1492.8"/>
        <n v="725.2"/>
        <n v="1251.3800000000001"/>
        <n v="574.49"/>
        <n v="904.65"/>
        <n v="355.13"/>
        <n v="877.61"/>
        <n v="1593"/>
        <n v="820.2"/>
        <n v="236.94"/>
        <n v="327.45999999999998"/>
        <n v="1168.5"/>
        <n v="321.72000000000003"/>
        <n v="953.94"/>
        <n v="1076.02"/>
        <n v="983.1"/>
        <n v="892.26"/>
        <n v="1834.5"/>
        <n v="391.21"/>
        <n v="1603.77"/>
        <n v="272.68"/>
        <n v="981.64"/>
        <n v="371.7"/>
        <n v="1223.7"/>
        <n v="1368.51"/>
        <n v="751.64"/>
        <n v="1077.3"/>
        <n v="687.25"/>
        <n v="977.4"/>
        <n v="997.53"/>
        <n v="778.36"/>
        <n v="1001.88"/>
        <n v="793.2"/>
        <n v="644.4"/>
        <n v="1137.6400000000001"/>
        <n v="1488.23"/>
        <n v="1278.72"/>
        <n v="1241.1300000000001"/>
        <n v="534.1"/>
        <n v="975.1"/>
        <n v="867.39"/>
        <n v="275.04000000000002"/>
        <n v="1022.7"/>
        <n v="1175.4000000000001"/>
        <n v="693.68"/>
        <n v="1177.52"/>
        <n v="267.3"/>
        <n v="1377"/>
        <n v="1792.84"/>
        <n v="463.12"/>
        <n v="1010.13"/>
        <n v="179.14"/>
        <n v="206.54"/>
        <n v="276"/>
        <n v="385.98"/>
        <n v="1843.16"/>
        <n v="1529.51"/>
        <n v="1704.6"/>
        <n v="567.6"/>
        <n v="973.83"/>
        <n v="1336.46"/>
        <n v="802.5"/>
        <n v="492.96"/>
        <n v="378"/>
        <n v="1081.08"/>
        <n v="1328.04"/>
        <n v="892.08"/>
        <n v="1141.8499999999999"/>
        <n v="929.1"/>
        <n v="1552.3"/>
        <n v="344.1"/>
        <n v="897.93"/>
        <n v="1600.5"/>
        <n v="621.80999999999995"/>
        <n v="1190.97"/>
        <n v="529.76"/>
        <n v="1800.96"/>
        <n v="634.34"/>
        <n v="957.25"/>
        <n v="166.05"/>
        <n v="1761.32"/>
        <n v="1827"/>
        <n v="704"/>
        <n v="362.88"/>
        <n v="1078.92"/>
        <n v="1032.4000000000001"/>
        <n v="362.7"/>
        <n v="1160"/>
        <n v="1035.92"/>
        <n v="1315.02"/>
        <n v="178.16"/>
        <n v="1233.25"/>
        <n v="552.72"/>
        <n v="862.08"/>
        <n v="1960.4"/>
        <n v="1686.4"/>
        <n v="468.86"/>
        <n v="864.85"/>
        <n v="1100.55"/>
        <n v="778"/>
        <n v="831.6"/>
        <n v="212.16"/>
        <n v="1076.32"/>
        <n v="386.86"/>
        <n v="575.28"/>
        <n v="2248.02"/>
        <n v="478.17"/>
        <n v="409.08"/>
        <n v="1284.94"/>
        <n v="1880"/>
        <n v="583.5"/>
        <n v="1372"/>
        <n v="620.35"/>
        <n v="452.64"/>
        <n v="115.92"/>
        <n v="1996.06"/>
        <n v="2283.73"/>
        <n v="926.21"/>
        <n v="1491.72"/>
        <n v="1270.92"/>
        <n v="1081.8"/>
        <n v="1621.6"/>
        <n v="747.15"/>
        <n v="232.36"/>
        <n v="567.87"/>
        <n v="205.56"/>
        <n v="987"/>
        <n v="1466.5"/>
        <n v="758.73"/>
        <n v="1119.72"/>
        <n v="227.64"/>
        <n v="1168.7"/>
        <n v="315.5"/>
        <n v="405.62"/>
        <n v="756.56"/>
        <n v="1270.6500000000001"/>
        <n v="861.41"/>
        <n v="1023.68"/>
        <n v="879.45"/>
        <n v="844.9"/>
        <n v="944.11"/>
        <n v="298.48"/>
        <n v="868.7"/>
        <n v="1416"/>
        <n v="358.8"/>
        <n v="241.36"/>
        <n v="175.8"/>
        <n v="1459.62"/>
        <n v="230.52"/>
        <n v="1290.9000000000001"/>
        <n v="1387.98"/>
        <n v="572.26"/>
        <n v="1996"/>
        <n v="748"/>
        <n v="451.8"/>
        <n v="782.18"/>
        <n v="287"/>
        <n v="489.54"/>
        <n v="563.72"/>
        <n v="1519.62"/>
        <n v="589.28"/>
        <n v="461.56"/>
        <n v="1483.52"/>
        <n v="809.76"/>
        <n v="1545.72"/>
        <n v="1393"/>
        <n v="530.4"/>
        <n v="1180.2"/>
        <n v="315.52"/>
        <n v="545.29999999999995"/>
        <n v="265.95"/>
        <n v="783.37"/>
        <n v="964.71"/>
        <n v="1985.28"/>
        <n v="417.38"/>
        <n v="762.21"/>
        <n v="157.68"/>
        <n v="551.07000000000005"/>
        <n v="543.52"/>
        <n v="991.38"/>
        <n v="523.71"/>
        <n v="654.28"/>
        <n v="603.19000000000005"/>
        <n v="461.1"/>
        <n v="1010.25"/>
        <n v="559.64"/>
        <n v="961.02"/>
        <n v="698.56"/>
        <n v="878.64"/>
        <n v="316.2"/>
        <n v="340.07"/>
        <n v="1023"/>
        <n v="2010.64"/>
        <n v="825.76"/>
        <n v="785.28"/>
        <n v="209"/>
        <n v="88.8"/>
        <n v="1323.49"/>
        <n v="153.44999999999999"/>
        <n v="552"/>
        <n v="375.44"/>
        <n v="1357.59"/>
        <n v="1798.14"/>
        <n v="511.94"/>
        <n v="822.15"/>
        <n v="1345.05"/>
        <n v="376.2"/>
        <n v="616.36"/>
        <n v="1733.16"/>
        <n v="903.83"/>
        <n v="820.6"/>
        <n v="1355.2"/>
        <n v="588.83000000000004"/>
        <n v="1421.88"/>
        <n v="1589.15"/>
        <n v="497.35"/>
        <n v="1289.19"/>
        <n v="667"/>
        <n v="983.06"/>
        <n v="226.16"/>
        <n v="598.64"/>
        <n v="1278.4000000000001"/>
        <n v="234.9"/>
        <n v="1238.72"/>
        <n v="635.25"/>
        <n v="1206.9000000000001"/>
        <n v="1493.76"/>
        <n v="1323.3"/>
        <n v="436.43"/>
        <n v="962.55"/>
        <n v="698.88"/>
        <n v="260.19"/>
        <n v="924.5"/>
        <n v="415"/>
        <n v="437.91"/>
        <n v="655.17999999999995"/>
        <n v="445.28"/>
        <n v="1075.03"/>
        <n v="1085.23"/>
        <n v="808.17"/>
        <n v="587.84"/>
        <n v="205.62"/>
        <n v="994.6"/>
        <n v="247.36"/>
        <n v="618.12"/>
        <n v="2097.16"/>
        <n v="960.52"/>
        <n v="269.85000000000002"/>
        <n v="680.34"/>
        <n v="658.5"/>
        <n v="1176.3900000000001"/>
        <n v="1269.3599999999999"/>
        <n v="210.84"/>
        <n v="543.49"/>
        <n v="1320.3"/>
        <n v="996.32"/>
        <n v="490.63"/>
        <n v="387.84"/>
        <n v="2390"/>
        <n v="331.75"/>
        <n v="1181.25"/>
        <n v="562.58000000000004"/>
        <n v="853.16"/>
        <n v="1775.47"/>
        <n v="1073.8"/>
        <n v="1023.22"/>
        <n v="272.16000000000003"/>
        <n v="834.66"/>
        <n v="706.18"/>
        <n v="372"/>
        <n v="635.97"/>
        <n v="136.56"/>
        <n v="1192.8"/>
        <n v="1069.5"/>
        <n v="1171.44"/>
        <n v="1089.51"/>
        <n v="134.52000000000001"/>
        <n v="472.65"/>
        <n v="473"/>
        <n v="890.12"/>
        <n v="1001.47"/>
        <n v="1719.6"/>
        <n v="636.83000000000004"/>
        <n v="342.4"/>
        <n v="325.36"/>
        <n v="548"/>
        <n v="468"/>
        <n v="202.25"/>
        <n v="431.46"/>
        <n v="541.26"/>
        <n v="910.67"/>
        <n v="462.5"/>
        <n v="735.9"/>
        <n v="1679.31"/>
        <n v="204.91"/>
        <n v="1973.7"/>
        <n v="1190.5"/>
        <n v="292.8"/>
        <n v="2201.1"/>
        <n v="1506.78"/>
        <n v="331.83"/>
        <n v="545.86"/>
        <n v="731.51"/>
        <n v="1994.5"/>
        <n v="989.52"/>
        <n v="519.48"/>
        <n v="988.5"/>
        <n v="1563.2"/>
        <n v="790.51"/>
        <n v="1150.8"/>
        <n v="1235.52"/>
        <n v="620.84"/>
        <n v="1206.6600000000001"/>
        <n v="1829.7"/>
        <n v="2378.48"/>
        <n v="140.28"/>
        <n v="1349.72"/>
        <n v="1750"/>
        <n v="103.4"/>
        <n v="906.6"/>
        <n v="325.76"/>
        <n v="718.64"/>
        <n v="1157.5"/>
        <n v="1072.72"/>
        <n v="1097.5999999999999"/>
        <n v="1192.69"/>
        <n v="524.4"/>
        <n v="1295.56"/>
        <n v="862.18"/>
        <n v="411.6"/>
        <n v="1338.09"/>
        <n v="229.2"/>
        <n v="1428"/>
        <n v="253.8"/>
        <n v="2289.42"/>
        <n v="649.91999999999996"/>
        <n v="612.72"/>
        <n v="239.83"/>
        <n v="652.27"/>
        <n v="1113.1199999999999"/>
        <n v="1094.1199999999999"/>
        <n v="954.5"/>
        <n v="869.76"/>
        <n v="1142.72"/>
        <n v="593.55999999999995"/>
        <n v="1908"/>
        <n v="249.84"/>
        <n v="441.57"/>
        <n v="1254.57"/>
        <n v="427.28"/>
        <n v="205.36"/>
        <n v="974"/>
        <n v="183.21"/>
        <n v="708.32"/>
        <n v="1503.36"/>
        <n v="217.35"/>
        <n v="485.07"/>
        <n v="501.22"/>
        <n v="1411.88"/>
        <n v="113.19"/>
        <n v="1286.4000000000001"/>
        <n v="911.33"/>
        <n v="301.58999999999997"/>
        <n v="829.54"/>
        <n v="838.44"/>
        <n v="372.3"/>
        <n v="643.11"/>
        <n v="1031.4000000000001"/>
        <n v="2133.9"/>
        <n v="470.75"/>
        <n v="733.32"/>
        <n v="726.56"/>
        <n v="1436.05"/>
        <n v="411.47"/>
        <n v="1599.84"/>
        <n v="187.66"/>
        <n v="1019.85"/>
        <n v="1420.86"/>
        <n v="450.63"/>
        <n v="1980.58"/>
        <n v="431.4"/>
        <n v="546.84"/>
        <n v="1180.08"/>
        <n v="871.2"/>
        <n v="481"/>
        <n v="1500.33"/>
        <n v="1265.67"/>
        <n v="664.05"/>
        <n v="1068.48"/>
        <n v="940.25"/>
        <n v="369.88"/>
        <n v="485.94"/>
        <n v="602.16"/>
        <n v="271.60000000000002"/>
        <n v="1850.16"/>
        <n v="1343.94"/>
        <n v="1288.96"/>
        <n v="962.2"/>
        <n v="690.69"/>
        <n v="452.76"/>
        <n v="509.8"/>
        <n v="979.34"/>
        <n v="690.46"/>
        <n v="1230.06"/>
        <n v="462.14"/>
        <n v="540.79999999999995"/>
        <n v="882.42"/>
        <n v="489.06"/>
        <n v="363.78"/>
        <n v="1593.58"/>
        <n v="2518.2600000000002"/>
        <n v="1233.7"/>
        <n v="601.35"/>
        <n v="959.9"/>
        <n v="809.1"/>
        <n v="534.82000000000005"/>
        <n v="778.4"/>
        <n v="222.5"/>
        <n v="1841.4"/>
        <n v="358.32"/>
        <n v="954.52"/>
        <n v="1934.55"/>
        <n v="2021.95"/>
        <n v="923.52"/>
        <n v="2097.48"/>
        <n v="845.13"/>
        <n v="192.3"/>
        <n v="2443.92"/>
        <n v="637.14"/>
        <n v="183.5"/>
        <n v="848.81"/>
        <n v="419.22"/>
        <n v="1244.6199999999999"/>
        <n v="1856.89"/>
        <n v="234.78"/>
        <n v="1772.16"/>
        <n v="572.66999999999996"/>
        <n v="388.56"/>
        <n v="1676.1"/>
        <n v="703.3"/>
        <n v="1272.04"/>
        <n v="576.9"/>
        <n v="455.28"/>
        <n v="1424.28"/>
        <n v="2098.36"/>
        <n v="1191.75"/>
        <n v="399"/>
        <n v="2020.68"/>
        <n v="862.58"/>
        <n v="457.6"/>
        <n v="1304.55"/>
        <n v="1021.2"/>
        <n v="770.64"/>
        <n v="389.18"/>
        <n v="829.15"/>
        <n v="2359.1999999999998"/>
        <n v="1099.7"/>
        <n v="196.56"/>
        <n v="1490.17"/>
        <n v="303.5"/>
        <n v="691.2"/>
        <n v="1546.56"/>
        <n v="465.15"/>
        <n v="1092.28"/>
        <n v="446.16"/>
        <n v="1032.25"/>
        <n v="1007.68"/>
        <n v="2457.35"/>
        <n v="356.64"/>
        <n v="937.6"/>
        <n v="497.84"/>
        <n v="388.12"/>
        <n v="1394.69"/>
        <n v="1196.25"/>
        <n v="589.25"/>
        <n v="217.62"/>
        <n v="1411"/>
        <n v="582.08000000000004"/>
        <n v="903.36"/>
        <n v="1258.8800000000001"/>
        <n v="683.91"/>
        <n v="972.37"/>
        <n v="1483.92"/>
        <n v="639"/>
        <n v="409.19"/>
        <n v="1675.1"/>
        <n v="1444.5"/>
        <n v="113.6"/>
        <n v="1063.1400000000001"/>
        <n v="1456.2"/>
        <n v="929.07"/>
        <n v="1432.62"/>
        <n v="1027.8800000000001"/>
        <n v="1784.64"/>
        <n v="612.85"/>
        <n v="701.76"/>
        <n v="305.33"/>
        <n v="2627.64"/>
        <n v="1867.68"/>
        <n v="480.9"/>
        <n v="956.4"/>
        <n v="1736"/>
        <n v="604.07000000000005"/>
        <n v="304.5"/>
        <n v="1680.84"/>
        <n v="1027.32"/>
        <n v="879.2"/>
        <n v="1435"/>
        <n v="208.12"/>
        <n v="342.48"/>
        <n v="964.39"/>
        <n v="693.88"/>
        <n v="659.87"/>
        <n v="197.57"/>
        <n v="322"/>
        <n v="367.37"/>
        <n v="185.98"/>
        <n v="563.5"/>
        <n v="445.64"/>
        <n v="117.13"/>
        <n v="1897.5"/>
        <n v="2120"/>
        <n v="990.76"/>
        <n v="2029.86"/>
        <n v="472.86"/>
        <n v="1133.5"/>
        <n v="160.08000000000001"/>
        <n v="975.56"/>
        <n v="815.67"/>
        <n v="361.62"/>
        <n v="1155.44"/>
        <n v="1048.96"/>
        <n v="1052.76"/>
        <n v="669.24"/>
        <n v="280.83"/>
        <n v="1824.38"/>
        <n v="168.96"/>
        <n v="1490.58"/>
        <n v="852.6"/>
        <n v="218.34"/>
        <n v="798.84"/>
        <n v="819.9"/>
        <n v="1850"/>
        <n v="1189.5"/>
        <n v="310.42"/>
        <n v="1660.8"/>
        <n v="290.02999999999997"/>
        <n v="1436.82"/>
        <n v="769.44"/>
        <n v="427.2"/>
        <n v="540.04999999999995"/>
        <n v="1040.9000000000001"/>
        <n v="1513.34"/>
        <n v="2281.6"/>
        <n v="1673.88"/>
        <n v="444.8"/>
        <n v="434.35"/>
        <n v="1473.5"/>
        <n v="620.54999999999995"/>
        <n v="192.44"/>
        <n v="196.35"/>
        <n v="1574.04"/>
        <n v="1688.1"/>
        <n v="317.33999999999997"/>
        <n v="604.44000000000005"/>
        <n v="1548.82"/>
        <n v="783.7"/>
        <n v="2139.84"/>
        <n v="1199.27"/>
        <n v="2163.48"/>
        <n v="1738.63"/>
        <n v="262.08"/>
        <n v="527.79999999999995"/>
        <n v="338.36"/>
        <n v="1542.24"/>
        <n v="1623.34"/>
        <n v="300.69"/>
        <n v="1018.64"/>
        <n v="245.7"/>
        <n v="968.22"/>
        <n v="1140.6199999999999"/>
        <n v="1049.24"/>
        <n v="929.22"/>
        <n v="565.91999999999996"/>
        <n v="316.8"/>
        <n v="948.31"/>
        <n v="311.22000000000003"/>
        <n v="618"/>
        <n v="629.79999999999995"/>
        <n v="188.48"/>
        <n v="929"/>
        <n v="2017.33"/>
        <n v="339.56"/>
        <n v="777.78"/>
        <n v="1066.24"/>
        <n v="298.39999999999998"/>
        <n v="248.4"/>
        <n v="778.68"/>
        <n v="522.12"/>
        <n v="249.72"/>
        <n v="543.6"/>
        <n v="1730.98"/>
        <n v="774"/>
        <n v="1526"/>
        <n v="1538.67"/>
        <n v="1371.6"/>
        <n v="631.20000000000005"/>
        <n v="729.6"/>
        <n v="351.69"/>
        <n v="1897.93"/>
        <n v="393.6"/>
        <n v="656.4"/>
        <n v="218.16"/>
        <n v="225.54"/>
        <n v="931.4"/>
        <n v="441.13"/>
        <n v="386.22"/>
        <n v="290.36"/>
        <n v="754.88"/>
        <n v="1025.1199999999999"/>
        <n v="507.54"/>
        <n v="1183.56"/>
        <n v="650.20000000000005"/>
        <n v="978.88"/>
        <n v="586.52"/>
        <n v="522.79"/>
        <n v="657.8"/>
        <n v="264.95999999999998"/>
        <n v="1372.06"/>
        <n v="228.38"/>
        <n v="236.17"/>
        <n v="686.7"/>
        <n v="1643.4"/>
        <n v="2076.06"/>
        <n v="1603.44"/>
        <n v="316.92"/>
        <n v="687.12"/>
        <n v="914.6"/>
        <n v="986.26"/>
        <n v="176.29"/>
        <n v="327.7"/>
        <n v="2763.7"/>
        <n v="2150.7199999999998"/>
        <n v="1105.3399999999999"/>
        <n v="1797.48"/>
        <n v="1563.1"/>
        <n v="819.28"/>
        <n v="691.6"/>
        <n v="422.31"/>
        <n v="1752.66"/>
        <n v="422.5"/>
        <n v="1007.86"/>
        <n v="2299.96"/>
        <n v="968.1"/>
        <n v="462.66"/>
        <n v="1023.99"/>
        <n v="1481.76"/>
        <n v="206.89"/>
        <n v="895.39"/>
        <n v="2737.71"/>
        <n v="766.92"/>
        <n v="1320.66"/>
        <n v="771.87"/>
        <n v="626.72"/>
        <n v="2587.23"/>
        <n v="340.17"/>
        <n v="305.45999999999998"/>
        <n v="657.02"/>
        <n v="270.95999999999998"/>
        <n v="988.8"/>
        <n v="1859"/>
        <n v="697.5"/>
        <n v="715.05"/>
        <n v="334.42"/>
        <n v="393.12"/>
        <n v="360.15"/>
        <n v="754.46"/>
        <n v="1249.92"/>
        <n v="170.8"/>
        <n v="1006.5"/>
        <n v="1518.33"/>
        <n v="1594.56"/>
        <n v="608.30999999999995"/>
        <n v="416.01"/>
        <n v="1014.42"/>
        <n v="199.68"/>
        <n v="1199.44"/>
        <n v="373.92"/>
        <n v="322.92"/>
        <n v="553.79999999999995"/>
        <n v="1563.33"/>
        <n v="1262.24"/>
        <n v="476.1"/>
        <n v="399.59"/>
        <n v="1739.64"/>
        <n v="764.82"/>
        <n v="1520.82"/>
        <n v="1527.62"/>
        <n v="1302"/>
        <n v="656.25"/>
        <n v="237.6"/>
        <n v="968.5"/>
        <n v="538.72"/>
        <n v="989.44"/>
        <n v="747.96"/>
        <n v="1807.52"/>
        <n v="231.14"/>
        <n v="465.63"/>
        <n v="1099.6400000000001"/>
        <n v="920.88"/>
        <n v="851.76"/>
        <n v="1290.06"/>
        <n v="746.4"/>
        <n v="435.6"/>
        <n v="137.94"/>
        <n v="710.82"/>
        <n v="2329.6"/>
        <n v="799.71"/>
        <n v="1793.22"/>
        <n v="645.42999999999995"/>
        <n v="504.3"/>
        <n v="335.3"/>
        <n v="666"/>
        <n v="259.05"/>
        <n v="849.24"/>
        <n v="242.52"/>
        <n v="499.12"/>
        <n v="265.88"/>
        <n v="409.82"/>
        <n v="1894.68"/>
        <n v="451.92"/>
        <n v="457.92"/>
        <n v="2297.36"/>
        <n v="1246.4000000000001"/>
        <n v="522.05999999999995"/>
        <n v="1765.72"/>
        <n v="934.72"/>
        <n v="597.4"/>
        <n v="1411.55"/>
        <n v="220.35"/>
        <n v="1020.72"/>
        <n v="1745.48"/>
        <n v="958.54"/>
        <n v="1086"/>
        <n v="658"/>
        <n v="1792.65"/>
        <n v="1657.44"/>
        <n v="1141.08"/>
        <n v="359.86"/>
        <n v="1184.04"/>
        <n v="765.52"/>
        <n v="779.96"/>
        <n v="671.22"/>
        <n v="1366.4"/>
        <n v="926.42"/>
        <n v="912.63"/>
        <n v="391.6"/>
        <n v="1620.08"/>
        <n v="889.02"/>
        <n v="1123.2"/>
        <n v="991.25"/>
        <n v="327.86"/>
        <n v="1151.52"/>
        <n v="1095.2"/>
        <n v="469.54"/>
        <n v="619.57000000000005"/>
        <n v="139.19999999999999"/>
        <n v="480.78"/>
        <n v="1390.72"/>
        <n v="158.08000000000001"/>
        <n v="691"/>
        <n v="481.8"/>
        <n v="608.04"/>
        <n v="770.85"/>
        <n v="90.24"/>
        <n v="720.5"/>
        <n v="1013.67"/>
        <n v="962.94"/>
        <n v="134"/>
        <n v="643.72"/>
        <n v="1252.48"/>
        <n v="1350.24"/>
        <n v="1178.06"/>
        <n v="415.95"/>
        <n v="327.23"/>
        <n v="1390.04"/>
        <n v="297.66000000000003"/>
        <n v="720.36"/>
        <n v="517.94000000000005"/>
        <n v="1652.91"/>
        <n v="978.51"/>
        <n v="974.75"/>
        <n v="971.5"/>
        <n v="203.35"/>
        <n v="609.17999999999995"/>
        <n v="555.17999999999995"/>
        <n v="976.85"/>
        <n v="1487.7"/>
        <n v="683.1"/>
        <n v="1501.12"/>
        <n v="523.79999999999995"/>
        <n v="1909.37"/>
        <n v="92.14"/>
        <n v="576.1"/>
        <n v="893.11"/>
        <n v="188.25"/>
        <n v="1347.08"/>
        <n v="862.05"/>
        <n v="2146.08"/>
      </sharedItems>
    </cacheField>
  </cacheFields>
  <extLst>
    <ext xmlns:x14="http://schemas.microsoft.com/office/spreadsheetml/2009/9/main" uri="{725AE2AE-9491-48be-B2B4-4EB974FC3084}">
      <x14:pivotCacheDefinition pivotCacheId="2503898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2024-11-23"/>
    <x v="0"/>
    <n v="2024"/>
    <x v="0"/>
    <x v="0"/>
    <s v="Customer_95"/>
    <x v="0"/>
    <n v="2506"/>
    <n v="0.96"/>
    <n v="2405.7600000000002"/>
    <n v="0.75"/>
    <n v="1879.5"/>
    <x v="0"/>
  </r>
  <r>
    <n v="2"/>
    <s v="2024-12-12"/>
    <x v="1"/>
    <n v="2024"/>
    <x v="1"/>
    <x v="0"/>
    <s v="Customer_5"/>
    <x v="1"/>
    <n v="1267"/>
    <n v="0.95"/>
    <n v="1203.6500000000001"/>
    <n v="0.69"/>
    <n v="874.23"/>
    <x v="1"/>
  </r>
  <r>
    <n v="3"/>
    <s v="2024-01-14"/>
    <x v="2"/>
    <n v="2024"/>
    <x v="1"/>
    <x v="1"/>
    <s v="Customer_29"/>
    <x v="2"/>
    <n v="2778"/>
    <n v="1.37"/>
    <n v="3805.86"/>
    <n v="0.82"/>
    <n v="2277.96"/>
    <x v="2"/>
  </r>
  <r>
    <n v="4"/>
    <s v="2024-03-22"/>
    <x v="3"/>
    <n v="2024"/>
    <x v="2"/>
    <x v="2"/>
    <s v="Customer_36"/>
    <x v="3"/>
    <n v="2263"/>
    <n v="1.47"/>
    <n v="3326.61"/>
    <n v="1.01"/>
    <n v="2285.63"/>
    <x v="3"/>
  </r>
  <r>
    <n v="5"/>
    <s v="2024-02-17"/>
    <x v="4"/>
    <n v="2024"/>
    <x v="0"/>
    <x v="2"/>
    <s v="Customer_46"/>
    <x v="4"/>
    <n v="2666"/>
    <n v="1.36"/>
    <n v="3625.76"/>
    <n v="1.06"/>
    <n v="2825.96"/>
    <x v="4"/>
  </r>
  <r>
    <n v="6"/>
    <s v="2024-10-01"/>
    <x v="5"/>
    <n v="2024"/>
    <x v="1"/>
    <x v="0"/>
    <s v="Customer_11"/>
    <x v="5"/>
    <n v="2901"/>
    <n v="1.38"/>
    <n v="4003.38"/>
    <n v="1.04"/>
    <n v="3017.04"/>
    <x v="5"/>
  </r>
  <r>
    <n v="7"/>
    <s v="2024-07-04"/>
    <x v="6"/>
    <n v="2024"/>
    <x v="0"/>
    <x v="1"/>
    <s v="Customer_6"/>
    <x v="6"/>
    <n v="2870"/>
    <n v="1.49"/>
    <n v="4276.3"/>
    <n v="1.21"/>
    <n v="3472.7"/>
    <x v="6"/>
  </r>
  <r>
    <n v="8"/>
    <s v="2024-02-21"/>
    <x v="4"/>
    <n v="2024"/>
    <x v="2"/>
    <x v="2"/>
    <s v="Customer_59"/>
    <x v="4"/>
    <n v="1832"/>
    <n v="1.06"/>
    <n v="1941.92"/>
    <n v="0.69"/>
    <n v="1264.08"/>
    <x v="7"/>
  </r>
  <r>
    <n v="9"/>
    <s v="2024-05-16"/>
    <x v="7"/>
    <n v="2024"/>
    <x v="3"/>
    <x v="0"/>
    <s v="Customer_69"/>
    <x v="6"/>
    <n v="1838"/>
    <n v="1.1200000000000001"/>
    <n v="2058.56"/>
    <n v="0.75"/>
    <n v="1378.5"/>
    <x v="8"/>
  </r>
  <r>
    <n v="10"/>
    <s v="2024-11-23"/>
    <x v="0"/>
    <n v="2024"/>
    <x v="2"/>
    <x v="1"/>
    <s v="Customer_99"/>
    <x v="7"/>
    <n v="2376"/>
    <n v="1.38"/>
    <n v="3278.88"/>
    <n v="1.1100000000000001"/>
    <n v="2637.36"/>
    <x v="9"/>
  </r>
  <r>
    <n v="11"/>
    <s v="2024-07-24"/>
    <x v="6"/>
    <n v="2024"/>
    <x v="0"/>
    <x v="3"/>
    <s v="Customer_28"/>
    <x v="8"/>
    <n v="3077"/>
    <n v="0.95"/>
    <n v="2923.15"/>
    <n v="0.69"/>
    <n v="2123.13"/>
    <x v="10"/>
  </r>
  <r>
    <n v="12"/>
    <s v="2024-11-25"/>
    <x v="0"/>
    <n v="2024"/>
    <x v="3"/>
    <x v="2"/>
    <s v="Customer_34"/>
    <x v="3"/>
    <n v="2520"/>
    <n v="1.32"/>
    <n v="3326.4"/>
    <n v="0.97"/>
    <n v="2444.4"/>
    <x v="11"/>
  </r>
  <r>
    <n v="13"/>
    <s v="2024-10-26"/>
    <x v="5"/>
    <n v="2024"/>
    <x v="1"/>
    <x v="2"/>
    <s v="Customer_47"/>
    <x v="6"/>
    <n v="1633"/>
    <n v="1.1599999999999999"/>
    <n v="1894.28"/>
    <n v="0.72"/>
    <n v="1175.76"/>
    <x v="12"/>
  </r>
  <r>
    <n v="14"/>
    <s v="2024-01-25"/>
    <x v="2"/>
    <n v="2024"/>
    <x v="3"/>
    <x v="0"/>
    <s v="Customer_81"/>
    <x v="9"/>
    <n v="3958"/>
    <n v="1.22"/>
    <n v="4828.76"/>
    <n v="0.85"/>
    <n v="3364.3"/>
    <x v="13"/>
  </r>
  <r>
    <n v="15"/>
    <s v="2024-11-01"/>
    <x v="0"/>
    <n v="2024"/>
    <x v="2"/>
    <x v="2"/>
    <s v="Customer_71"/>
    <x v="1"/>
    <n v="1438"/>
    <n v="1.28"/>
    <n v="1840.64"/>
    <n v="0.94"/>
    <n v="1351.72"/>
    <x v="14"/>
  </r>
  <r>
    <n v="16"/>
    <s v="2024-05-16"/>
    <x v="7"/>
    <n v="2024"/>
    <x v="0"/>
    <x v="3"/>
    <s v="Customer_38"/>
    <x v="10"/>
    <n v="1795"/>
    <n v="1.1200000000000001"/>
    <n v="2010.4"/>
    <n v="0.94"/>
    <n v="1687.3"/>
    <x v="15"/>
  </r>
  <r>
    <n v="17"/>
    <s v="2024-05-14"/>
    <x v="7"/>
    <n v="2024"/>
    <x v="0"/>
    <x v="1"/>
    <s v="Customer_81"/>
    <x v="11"/>
    <n v="4658"/>
    <n v="1.23"/>
    <n v="5729.34"/>
    <n v="0.78"/>
    <n v="3633.24"/>
    <x v="16"/>
  </r>
  <r>
    <n v="18"/>
    <s v="2024-03-23"/>
    <x v="3"/>
    <n v="2024"/>
    <x v="2"/>
    <x v="0"/>
    <s v="Customer_63"/>
    <x v="1"/>
    <n v="1416"/>
    <n v="1.45"/>
    <n v="2053.1999999999998"/>
    <n v="1.19"/>
    <n v="1685.04"/>
    <x v="17"/>
  </r>
  <r>
    <n v="19"/>
    <s v="2024-06-06"/>
    <x v="8"/>
    <n v="2024"/>
    <x v="0"/>
    <x v="1"/>
    <s v="Customer_31"/>
    <x v="8"/>
    <n v="1145"/>
    <n v="0.86"/>
    <n v="984.7"/>
    <n v="0.62"/>
    <n v="709.9"/>
    <x v="18"/>
  </r>
  <r>
    <n v="20"/>
    <s v="2024-02-05"/>
    <x v="4"/>
    <n v="2024"/>
    <x v="3"/>
    <x v="1"/>
    <s v="Customer_85"/>
    <x v="12"/>
    <n v="1852"/>
    <n v="0.99"/>
    <n v="1833.48"/>
    <n v="0.81"/>
    <n v="1500.12"/>
    <x v="19"/>
  </r>
  <r>
    <n v="21"/>
    <s v="2024-08-04"/>
    <x v="9"/>
    <n v="2024"/>
    <x v="3"/>
    <x v="1"/>
    <s v="Customer_92"/>
    <x v="11"/>
    <n v="3768"/>
    <n v="1.5"/>
    <n v="5652"/>
    <n v="1.1399999999999999"/>
    <n v="4295.5200000000004"/>
    <x v="20"/>
  </r>
  <r>
    <n v="22"/>
    <s v="2024-08-12"/>
    <x v="9"/>
    <n v="2024"/>
    <x v="0"/>
    <x v="2"/>
    <s v="Customer_32"/>
    <x v="6"/>
    <n v="1024"/>
    <n v="1.04"/>
    <n v="1064.96"/>
    <n v="0.78"/>
    <n v="798.72"/>
    <x v="21"/>
  </r>
  <r>
    <n v="23"/>
    <s v="2024-04-27"/>
    <x v="10"/>
    <n v="2024"/>
    <x v="0"/>
    <x v="1"/>
    <s v="Customer_10"/>
    <x v="7"/>
    <n v="2375"/>
    <n v="0.85"/>
    <n v="2018.75"/>
    <n v="0.52"/>
    <n v="1235"/>
    <x v="22"/>
  </r>
  <r>
    <n v="24"/>
    <s v="2024-06-18"/>
    <x v="8"/>
    <n v="2024"/>
    <x v="3"/>
    <x v="0"/>
    <s v="Customer_36"/>
    <x v="12"/>
    <n v="2255"/>
    <n v="1.18"/>
    <n v="2660.9"/>
    <n v="0.92"/>
    <n v="2074.6"/>
    <x v="23"/>
  </r>
  <r>
    <n v="25"/>
    <s v="2024-10-19"/>
    <x v="5"/>
    <n v="2024"/>
    <x v="3"/>
    <x v="2"/>
    <s v="Customer_61"/>
    <x v="10"/>
    <n v="2059"/>
    <n v="0.87"/>
    <n v="1791.33"/>
    <n v="0.67"/>
    <n v="1379.53"/>
    <x v="24"/>
  </r>
  <r>
    <n v="26"/>
    <s v="2024-06-30"/>
    <x v="8"/>
    <n v="2024"/>
    <x v="1"/>
    <x v="2"/>
    <s v="Customer_60"/>
    <x v="7"/>
    <n v="1306"/>
    <n v="0.84"/>
    <n v="1097.04"/>
    <n v="0.66"/>
    <n v="861.96"/>
    <x v="25"/>
  </r>
  <r>
    <n v="27"/>
    <s v="2024-02-25"/>
    <x v="4"/>
    <n v="2024"/>
    <x v="3"/>
    <x v="1"/>
    <s v="Customer_25"/>
    <x v="5"/>
    <n v="4175"/>
    <n v="0.9"/>
    <n v="3757.5"/>
    <n v="0.57999999999999996"/>
    <n v="2421.5"/>
    <x v="26"/>
  </r>
  <r>
    <n v="28"/>
    <s v="2024-08-24"/>
    <x v="9"/>
    <n v="2024"/>
    <x v="0"/>
    <x v="1"/>
    <s v="Customer_57"/>
    <x v="5"/>
    <n v="1302"/>
    <n v="0.84"/>
    <n v="1093.68"/>
    <n v="0.71"/>
    <n v="924.42"/>
    <x v="27"/>
  </r>
  <r>
    <n v="29"/>
    <s v="2024-01-08"/>
    <x v="2"/>
    <n v="2024"/>
    <x v="3"/>
    <x v="0"/>
    <s v="Customer_22"/>
    <x v="10"/>
    <n v="4478"/>
    <n v="1.1399999999999999"/>
    <n v="5104.92"/>
    <n v="0.93"/>
    <n v="4164.54"/>
    <x v="28"/>
  </r>
  <r>
    <n v="30"/>
    <s v="2024-01-31"/>
    <x v="2"/>
    <n v="2024"/>
    <x v="1"/>
    <x v="1"/>
    <s v="Customer_1"/>
    <x v="13"/>
    <n v="2672"/>
    <n v="1.45"/>
    <n v="3874.4"/>
    <n v="1.1499999999999999"/>
    <n v="3072.8"/>
    <x v="29"/>
  </r>
  <r>
    <n v="31"/>
    <s v="2024-05-26"/>
    <x v="7"/>
    <n v="2024"/>
    <x v="1"/>
    <x v="2"/>
    <s v="Customer_20"/>
    <x v="14"/>
    <n v="2930"/>
    <n v="0.95"/>
    <n v="2783.5"/>
    <n v="0.57999999999999996"/>
    <n v="1699.4"/>
    <x v="30"/>
  </r>
  <r>
    <n v="32"/>
    <s v="2024-10-04"/>
    <x v="5"/>
    <n v="2024"/>
    <x v="2"/>
    <x v="0"/>
    <s v="Customer_8"/>
    <x v="7"/>
    <n v="4405"/>
    <n v="1.1499999999999999"/>
    <n v="5065.75"/>
    <n v="0.94"/>
    <n v="4140.7"/>
    <x v="31"/>
  </r>
  <r>
    <n v="33"/>
    <s v="2024-03-21"/>
    <x v="3"/>
    <n v="2024"/>
    <x v="0"/>
    <x v="0"/>
    <s v="Customer_24"/>
    <x v="15"/>
    <n v="1056"/>
    <n v="1.27"/>
    <n v="1341.12"/>
    <n v="0.84"/>
    <n v="887.04"/>
    <x v="32"/>
  </r>
  <r>
    <n v="34"/>
    <s v="2024-03-02"/>
    <x v="3"/>
    <n v="2024"/>
    <x v="0"/>
    <x v="1"/>
    <s v="Customer_80"/>
    <x v="15"/>
    <n v="3934"/>
    <n v="1.26"/>
    <n v="4956.84"/>
    <n v="0.93"/>
    <n v="3658.62"/>
    <x v="33"/>
  </r>
  <r>
    <n v="35"/>
    <s v="2024-06-10"/>
    <x v="8"/>
    <n v="2024"/>
    <x v="3"/>
    <x v="3"/>
    <s v="Customer_86"/>
    <x v="16"/>
    <n v="2455"/>
    <n v="0.99"/>
    <n v="2430.4499999999998"/>
    <n v="0.63"/>
    <n v="1546.65"/>
    <x v="34"/>
  </r>
  <r>
    <n v="36"/>
    <s v="2024-11-26"/>
    <x v="0"/>
    <n v="2024"/>
    <x v="1"/>
    <x v="3"/>
    <s v="Customer_41"/>
    <x v="15"/>
    <n v="576"/>
    <n v="1.1200000000000001"/>
    <n v="645.12"/>
    <n v="0.95"/>
    <n v="547.20000000000005"/>
    <x v="35"/>
  </r>
  <r>
    <n v="37"/>
    <s v="2024-02-21"/>
    <x v="4"/>
    <n v="2024"/>
    <x v="3"/>
    <x v="0"/>
    <s v="Customer_65"/>
    <x v="0"/>
    <n v="1585"/>
    <n v="1.45"/>
    <n v="2298.25"/>
    <n v="1.19"/>
    <n v="1886.15"/>
    <x v="36"/>
  </r>
  <r>
    <n v="38"/>
    <s v="2024-05-05"/>
    <x v="7"/>
    <n v="2024"/>
    <x v="2"/>
    <x v="3"/>
    <s v="Customer_21"/>
    <x v="2"/>
    <n v="4950"/>
    <n v="1.29"/>
    <n v="6385.5"/>
    <n v="0.97"/>
    <n v="4801.5"/>
    <x v="37"/>
  </r>
  <r>
    <n v="39"/>
    <s v="2024-11-30"/>
    <x v="0"/>
    <n v="2024"/>
    <x v="2"/>
    <x v="0"/>
    <s v="Customer_85"/>
    <x v="17"/>
    <n v="1600"/>
    <n v="0.99"/>
    <n v="1584"/>
    <n v="0.81"/>
    <n v="1296"/>
    <x v="38"/>
  </r>
  <r>
    <n v="40"/>
    <s v="2024-10-10"/>
    <x v="5"/>
    <n v="2024"/>
    <x v="2"/>
    <x v="1"/>
    <s v="Customer_37"/>
    <x v="18"/>
    <n v="2225"/>
    <n v="1.3"/>
    <n v="2892.5"/>
    <n v="0.85"/>
    <n v="1891.25"/>
    <x v="39"/>
  </r>
  <r>
    <n v="41"/>
    <s v="2024-11-20"/>
    <x v="0"/>
    <n v="2024"/>
    <x v="1"/>
    <x v="3"/>
    <s v="Customer_33"/>
    <x v="7"/>
    <n v="1256"/>
    <n v="1.24"/>
    <n v="1557.44"/>
    <n v="1"/>
    <n v="1256"/>
    <x v="40"/>
  </r>
  <r>
    <n v="42"/>
    <s v="2024-01-23"/>
    <x v="2"/>
    <n v="2024"/>
    <x v="2"/>
    <x v="0"/>
    <s v="Customer_99"/>
    <x v="3"/>
    <n v="2645"/>
    <n v="0.91"/>
    <n v="2406.9499999999998"/>
    <n v="0.65"/>
    <n v="1719.25"/>
    <x v="41"/>
  </r>
  <r>
    <n v="43"/>
    <s v="2024-12-27"/>
    <x v="1"/>
    <n v="2024"/>
    <x v="0"/>
    <x v="2"/>
    <s v="Customer_15"/>
    <x v="15"/>
    <n v="1721"/>
    <n v="1.18"/>
    <n v="2030.78"/>
    <n v="0.95"/>
    <n v="1634.95"/>
    <x v="42"/>
  </r>
  <r>
    <n v="44"/>
    <s v="2024-10-25"/>
    <x v="5"/>
    <n v="2024"/>
    <x v="1"/>
    <x v="1"/>
    <s v="Customer_17"/>
    <x v="7"/>
    <n v="3025"/>
    <n v="1.06"/>
    <n v="3206.5"/>
    <n v="0.88"/>
    <n v="2662"/>
    <x v="43"/>
  </r>
  <r>
    <n v="45"/>
    <s v="2024-01-21"/>
    <x v="2"/>
    <n v="2024"/>
    <x v="3"/>
    <x v="3"/>
    <s v="Customer_88"/>
    <x v="6"/>
    <n v="1342"/>
    <n v="1.05"/>
    <n v="1409.1"/>
    <n v="0.78"/>
    <n v="1046.76"/>
    <x v="44"/>
  </r>
  <r>
    <n v="46"/>
    <s v="2024-07-27"/>
    <x v="6"/>
    <n v="2024"/>
    <x v="3"/>
    <x v="1"/>
    <s v="Customer_21"/>
    <x v="9"/>
    <n v="3877"/>
    <n v="0.82"/>
    <n v="3179.14"/>
    <n v="0.64"/>
    <n v="2481.2800000000002"/>
    <x v="45"/>
  </r>
  <r>
    <n v="47"/>
    <s v="2024-06-19"/>
    <x v="8"/>
    <n v="2024"/>
    <x v="3"/>
    <x v="2"/>
    <s v="Customer_35"/>
    <x v="9"/>
    <n v="1385"/>
    <n v="1.07"/>
    <n v="1481.95"/>
    <n v="0.65"/>
    <n v="900.25"/>
    <x v="46"/>
  </r>
  <r>
    <n v="48"/>
    <s v="2024-08-28"/>
    <x v="9"/>
    <n v="2024"/>
    <x v="3"/>
    <x v="1"/>
    <s v="Customer_59"/>
    <x v="4"/>
    <n v="3000"/>
    <n v="1.37"/>
    <n v="4110"/>
    <n v="1.1200000000000001"/>
    <n v="3360"/>
    <x v="47"/>
  </r>
  <r>
    <n v="49"/>
    <s v="2024-04-24"/>
    <x v="10"/>
    <n v="2024"/>
    <x v="3"/>
    <x v="0"/>
    <s v="Customer_52"/>
    <x v="16"/>
    <n v="2782"/>
    <n v="1.41"/>
    <n v="3922.62"/>
    <n v="1.19"/>
    <n v="3310.58"/>
    <x v="48"/>
  </r>
  <r>
    <n v="50"/>
    <s v="2024-05-22"/>
    <x v="7"/>
    <n v="2024"/>
    <x v="1"/>
    <x v="3"/>
    <s v="Customer_87"/>
    <x v="5"/>
    <n v="3212"/>
    <n v="1.46"/>
    <n v="4689.5200000000004"/>
    <n v="0.92"/>
    <n v="2955.04"/>
    <x v="49"/>
  </r>
  <r>
    <n v="51"/>
    <s v="2024-05-13"/>
    <x v="7"/>
    <n v="2024"/>
    <x v="2"/>
    <x v="1"/>
    <s v="Customer_5"/>
    <x v="17"/>
    <n v="4059"/>
    <n v="1.04"/>
    <n v="4221.3599999999997"/>
    <n v="0.83"/>
    <n v="3368.97"/>
    <x v="50"/>
  </r>
  <r>
    <n v="52"/>
    <s v="2024-08-11"/>
    <x v="9"/>
    <n v="2024"/>
    <x v="1"/>
    <x v="0"/>
    <s v="Customer_74"/>
    <x v="14"/>
    <n v="2586"/>
    <n v="0.83"/>
    <n v="2146.38"/>
    <n v="0.59"/>
    <n v="1525.74"/>
    <x v="51"/>
  </r>
  <r>
    <n v="53"/>
    <s v="2024-09-23"/>
    <x v="11"/>
    <n v="2024"/>
    <x v="2"/>
    <x v="1"/>
    <s v="Customer_56"/>
    <x v="15"/>
    <n v="3204"/>
    <n v="1.24"/>
    <n v="3972.96"/>
    <n v="0.95"/>
    <n v="3043.8"/>
    <x v="52"/>
  </r>
  <r>
    <n v="54"/>
    <s v="2024-03-04"/>
    <x v="3"/>
    <n v="2024"/>
    <x v="2"/>
    <x v="3"/>
    <s v="Customer_86"/>
    <x v="10"/>
    <n v="3172"/>
    <n v="1.08"/>
    <n v="3425.76"/>
    <n v="0.73"/>
    <n v="2315.56"/>
    <x v="53"/>
  </r>
  <r>
    <n v="55"/>
    <s v="2024-03-06"/>
    <x v="3"/>
    <n v="2024"/>
    <x v="1"/>
    <x v="1"/>
    <s v="Customer_86"/>
    <x v="13"/>
    <n v="1925"/>
    <n v="1.23"/>
    <n v="2367.75"/>
    <n v="0.83"/>
    <n v="1597.75"/>
    <x v="54"/>
  </r>
  <r>
    <n v="56"/>
    <s v="2024-10-07"/>
    <x v="5"/>
    <n v="2024"/>
    <x v="2"/>
    <x v="0"/>
    <s v="Customer_37"/>
    <x v="14"/>
    <n v="4021"/>
    <n v="1.35"/>
    <n v="5428.35"/>
    <n v="1.01"/>
    <n v="4061.21"/>
    <x v="55"/>
  </r>
  <r>
    <n v="57"/>
    <s v="2024-06-13"/>
    <x v="8"/>
    <n v="2024"/>
    <x v="1"/>
    <x v="2"/>
    <s v="Customer_57"/>
    <x v="14"/>
    <n v="4687"/>
    <n v="1.1299999999999999"/>
    <n v="5296.31"/>
    <n v="0.93"/>
    <n v="4358.91"/>
    <x v="56"/>
  </r>
  <r>
    <n v="58"/>
    <s v="2024-03-27"/>
    <x v="3"/>
    <n v="2024"/>
    <x v="2"/>
    <x v="0"/>
    <s v="Customer_66"/>
    <x v="18"/>
    <n v="3245"/>
    <n v="0.87"/>
    <n v="2823.15"/>
    <n v="0.73"/>
    <n v="2368.85"/>
    <x v="57"/>
  </r>
  <r>
    <n v="59"/>
    <s v="2024-04-30"/>
    <x v="10"/>
    <n v="2024"/>
    <x v="3"/>
    <x v="3"/>
    <s v="Customer_26"/>
    <x v="3"/>
    <n v="700"/>
    <n v="0.83"/>
    <n v="581"/>
    <n v="0.7"/>
    <n v="490"/>
    <x v="58"/>
  </r>
  <r>
    <n v="60"/>
    <s v="2024-11-08"/>
    <x v="0"/>
    <n v="2024"/>
    <x v="1"/>
    <x v="0"/>
    <s v="Customer_54"/>
    <x v="8"/>
    <n v="2092"/>
    <n v="1.3"/>
    <n v="2719.6"/>
    <n v="0.9"/>
    <n v="1882.8"/>
    <x v="59"/>
  </r>
  <r>
    <n v="61"/>
    <s v="2024-07-23"/>
    <x v="6"/>
    <n v="2024"/>
    <x v="3"/>
    <x v="1"/>
    <s v="Customer_84"/>
    <x v="1"/>
    <n v="1373"/>
    <n v="1.34"/>
    <n v="1839.82"/>
    <n v="0.88"/>
    <n v="1208.24"/>
    <x v="60"/>
  </r>
  <r>
    <n v="62"/>
    <s v="2024-12-22"/>
    <x v="1"/>
    <n v="2024"/>
    <x v="0"/>
    <x v="2"/>
    <s v="Customer_72"/>
    <x v="6"/>
    <n v="1494"/>
    <n v="1.1200000000000001"/>
    <n v="1673.28"/>
    <n v="0.9"/>
    <n v="1344.6"/>
    <x v="61"/>
  </r>
  <r>
    <n v="63"/>
    <s v="2024-12-07"/>
    <x v="1"/>
    <n v="2024"/>
    <x v="1"/>
    <x v="3"/>
    <s v="Customer_79"/>
    <x v="19"/>
    <n v="3995"/>
    <n v="1.38"/>
    <n v="5513.1"/>
    <n v="1.02"/>
    <n v="4074.9"/>
    <x v="62"/>
  </r>
  <r>
    <n v="64"/>
    <s v="2024-03-22"/>
    <x v="3"/>
    <n v="2024"/>
    <x v="1"/>
    <x v="2"/>
    <s v="Customer_34"/>
    <x v="6"/>
    <n v="2771"/>
    <n v="1.34"/>
    <n v="3713.14"/>
    <n v="0.98"/>
    <n v="2715.58"/>
    <x v="63"/>
  </r>
  <r>
    <n v="65"/>
    <s v="2024-11-16"/>
    <x v="0"/>
    <n v="2024"/>
    <x v="2"/>
    <x v="1"/>
    <s v="Customer_57"/>
    <x v="15"/>
    <n v="2840"/>
    <n v="0.96"/>
    <n v="2726.4"/>
    <n v="0.66"/>
    <n v="1874.4"/>
    <x v="64"/>
  </r>
  <r>
    <n v="66"/>
    <s v="2024-10-03"/>
    <x v="5"/>
    <n v="2024"/>
    <x v="3"/>
    <x v="0"/>
    <s v="Customer_20"/>
    <x v="6"/>
    <n v="3637"/>
    <n v="1.29"/>
    <n v="4691.7299999999996"/>
    <n v="1"/>
    <n v="3637"/>
    <x v="65"/>
  </r>
  <r>
    <n v="67"/>
    <s v="2024-02-02"/>
    <x v="4"/>
    <n v="2024"/>
    <x v="1"/>
    <x v="2"/>
    <s v="Customer_43"/>
    <x v="5"/>
    <n v="4316"/>
    <n v="1.0900000000000001"/>
    <n v="4704.4399999999996"/>
    <n v="0.71"/>
    <n v="3064.36"/>
    <x v="66"/>
  </r>
  <r>
    <n v="68"/>
    <s v="2024-08-03"/>
    <x v="9"/>
    <n v="2024"/>
    <x v="0"/>
    <x v="2"/>
    <s v="Customer_98"/>
    <x v="8"/>
    <n v="3616"/>
    <n v="1.1299999999999999"/>
    <n v="4086.08"/>
    <n v="0.94"/>
    <n v="3399.04"/>
    <x v="67"/>
  </r>
  <r>
    <n v="69"/>
    <s v="2024-06-01"/>
    <x v="8"/>
    <n v="2024"/>
    <x v="1"/>
    <x v="2"/>
    <s v="Customer_69"/>
    <x v="5"/>
    <n v="2306"/>
    <n v="1.1399999999999999"/>
    <n v="2628.84"/>
    <n v="0.76"/>
    <n v="1752.56"/>
    <x v="68"/>
  </r>
  <r>
    <n v="70"/>
    <s v="2024-09-05"/>
    <x v="11"/>
    <n v="2024"/>
    <x v="1"/>
    <x v="0"/>
    <s v="Customer_44"/>
    <x v="13"/>
    <n v="1852"/>
    <n v="1.39"/>
    <n v="2574.2800000000002"/>
    <n v="1.1499999999999999"/>
    <n v="2129.8000000000002"/>
    <x v="69"/>
  </r>
  <r>
    <n v="71"/>
    <s v="2024-11-14"/>
    <x v="0"/>
    <n v="2024"/>
    <x v="1"/>
    <x v="0"/>
    <s v="Customer_76"/>
    <x v="8"/>
    <n v="722"/>
    <n v="0.86"/>
    <n v="620.91999999999996"/>
    <n v="0.61"/>
    <n v="440.42"/>
    <x v="70"/>
  </r>
  <r>
    <n v="72"/>
    <s v="2024-08-24"/>
    <x v="9"/>
    <n v="2024"/>
    <x v="0"/>
    <x v="1"/>
    <s v="Customer_34"/>
    <x v="13"/>
    <n v="3181"/>
    <n v="0.95"/>
    <n v="3021.95"/>
    <n v="0.65"/>
    <n v="2067.65"/>
    <x v="71"/>
  </r>
  <r>
    <n v="73"/>
    <s v="2024-07-13"/>
    <x v="6"/>
    <n v="2024"/>
    <x v="1"/>
    <x v="3"/>
    <s v="Customer_33"/>
    <x v="15"/>
    <n v="4352"/>
    <n v="0.81"/>
    <n v="3525.12"/>
    <n v="0.6"/>
    <n v="2611.1999999999998"/>
    <x v="72"/>
  </r>
  <r>
    <n v="74"/>
    <s v="2024-06-28"/>
    <x v="8"/>
    <n v="2024"/>
    <x v="0"/>
    <x v="1"/>
    <s v="Customer_100"/>
    <x v="7"/>
    <n v="754"/>
    <n v="1.46"/>
    <n v="1100.8399999999999"/>
    <n v="0.95"/>
    <n v="716.3"/>
    <x v="73"/>
  </r>
  <r>
    <n v="75"/>
    <s v="2024-01-11"/>
    <x v="2"/>
    <n v="2024"/>
    <x v="3"/>
    <x v="1"/>
    <s v="Customer_17"/>
    <x v="12"/>
    <n v="1437"/>
    <n v="1.19"/>
    <n v="1710.03"/>
    <n v="0.78"/>
    <n v="1120.8599999999999"/>
    <x v="74"/>
  </r>
  <r>
    <n v="76"/>
    <s v="2024-12-24"/>
    <x v="1"/>
    <n v="2024"/>
    <x v="2"/>
    <x v="3"/>
    <s v="Customer_22"/>
    <x v="18"/>
    <n v="1438"/>
    <n v="1.34"/>
    <n v="1926.92"/>
    <n v="0.86"/>
    <n v="1236.68"/>
    <x v="75"/>
  </r>
  <r>
    <n v="77"/>
    <s v="2024-06-08"/>
    <x v="8"/>
    <n v="2024"/>
    <x v="0"/>
    <x v="0"/>
    <s v="Customer_40"/>
    <x v="8"/>
    <n v="3574"/>
    <n v="1.08"/>
    <n v="3859.92"/>
    <n v="0.84"/>
    <n v="3002.16"/>
    <x v="76"/>
  </r>
  <r>
    <n v="78"/>
    <s v="2024-02-08"/>
    <x v="4"/>
    <n v="2024"/>
    <x v="0"/>
    <x v="1"/>
    <s v="Customer_90"/>
    <x v="11"/>
    <n v="1491"/>
    <n v="1.36"/>
    <n v="2027.76"/>
    <n v="1.01"/>
    <n v="1505.91"/>
    <x v="77"/>
  </r>
  <r>
    <n v="79"/>
    <s v="2024-01-22"/>
    <x v="2"/>
    <n v="2024"/>
    <x v="1"/>
    <x v="3"/>
    <s v="Customer_85"/>
    <x v="4"/>
    <n v="1064"/>
    <n v="1.1499999999999999"/>
    <n v="1223.5999999999999"/>
    <n v="0.79"/>
    <n v="840.56"/>
    <x v="78"/>
  </r>
  <r>
    <n v="80"/>
    <s v="2024-08-03"/>
    <x v="9"/>
    <n v="2024"/>
    <x v="0"/>
    <x v="2"/>
    <s v="Customer_56"/>
    <x v="4"/>
    <n v="4266"/>
    <n v="1.3"/>
    <n v="5545.8"/>
    <n v="0.92"/>
    <n v="3924.72"/>
    <x v="79"/>
  </r>
  <r>
    <n v="81"/>
    <s v="2024-09-24"/>
    <x v="11"/>
    <n v="2024"/>
    <x v="1"/>
    <x v="3"/>
    <s v="Customer_60"/>
    <x v="10"/>
    <n v="2698"/>
    <n v="1.03"/>
    <n v="2778.94"/>
    <n v="0.68"/>
    <n v="1834.64"/>
    <x v="80"/>
  </r>
  <r>
    <n v="82"/>
    <s v="2024-02-14"/>
    <x v="4"/>
    <n v="2024"/>
    <x v="1"/>
    <x v="3"/>
    <s v="Customer_32"/>
    <x v="2"/>
    <n v="3604"/>
    <n v="1.04"/>
    <n v="3748.16"/>
    <n v="0.75"/>
    <n v="2703"/>
    <x v="81"/>
  </r>
  <r>
    <n v="83"/>
    <s v="2024-06-15"/>
    <x v="8"/>
    <n v="2024"/>
    <x v="1"/>
    <x v="1"/>
    <s v="Customer_28"/>
    <x v="4"/>
    <n v="2616"/>
    <n v="1.04"/>
    <n v="2720.64"/>
    <n v="0.85"/>
    <n v="2223.6"/>
    <x v="82"/>
  </r>
  <r>
    <n v="84"/>
    <s v="2024-12-25"/>
    <x v="1"/>
    <n v="2024"/>
    <x v="0"/>
    <x v="3"/>
    <s v="Customer_67"/>
    <x v="14"/>
    <n v="1201"/>
    <n v="0.97"/>
    <n v="1164.97"/>
    <n v="0.68"/>
    <n v="816.68"/>
    <x v="83"/>
  </r>
  <r>
    <n v="85"/>
    <s v="2024-10-11"/>
    <x v="5"/>
    <n v="2024"/>
    <x v="1"/>
    <x v="1"/>
    <s v="Customer_83"/>
    <x v="12"/>
    <n v="4171"/>
    <n v="1.36"/>
    <n v="5672.56"/>
    <n v="0.85"/>
    <n v="3545.35"/>
    <x v="84"/>
  </r>
  <r>
    <n v="86"/>
    <s v="2024-04-23"/>
    <x v="10"/>
    <n v="2024"/>
    <x v="3"/>
    <x v="2"/>
    <s v="Customer_40"/>
    <x v="8"/>
    <n v="3523"/>
    <n v="1.1299999999999999"/>
    <n v="3980.99"/>
    <n v="0.83"/>
    <n v="2924.09"/>
    <x v="85"/>
  </r>
  <r>
    <n v="87"/>
    <s v="2024-08-05"/>
    <x v="9"/>
    <n v="2024"/>
    <x v="2"/>
    <x v="3"/>
    <s v="Customer_90"/>
    <x v="2"/>
    <n v="2719"/>
    <n v="1.01"/>
    <n v="2746.19"/>
    <n v="0.66"/>
    <n v="1794.54"/>
    <x v="86"/>
  </r>
  <r>
    <n v="88"/>
    <s v="2024-04-08"/>
    <x v="10"/>
    <n v="2024"/>
    <x v="0"/>
    <x v="3"/>
    <s v="Customer_96"/>
    <x v="5"/>
    <n v="2016"/>
    <n v="0.93"/>
    <n v="1874.88"/>
    <n v="0.73"/>
    <n v="1471.68"/>
    <x v="87"/>
  </r>
  <r>
    <n v="89"/>
    <s v="2024-05-21"/>
    <x v="7"/>
    <n v="2024"/>
    <x v="0"/>
    <x v="3"/>
    <s v="Customer_25"/>
    <x v="11"/>
    <n v="2363"/>
    <n v="1.05"/>
    <n v="2481.15"/>
    <n v="0.71"/>
    <n v="1677.73"/>
    <x v="88"/>
  </r>
  <r>
    <n v="90"/>
    <s v="2024-12-28"/>
    <x v="1"/>
    <n v="2024"/>
    <x v="2"/>
    <x v="1"/>
    <s v="Customer_6"/>
    <x v="7"/>
    <n v="2893"/>
    <n v="1.29"/>
    <n v="3731.97"/>
    <n v="0.81"/>
    <n v="2343.33"/>
    <x v="89"/>
  </r>
  <r>
    <n v="91"/>
    <s v="2024-09-08"/>
    <x v="11"/>
    <n v="2024"/>
    <x v="0"/>
    <x v="0"/>
    <s v="Customer_74"/>
    <x v="11"/>
    <n v="4345"/>
    <n v="1.1399999999999999"/>
    <n v="4953.3"/>
    <n v="0.78"/>
    <n v="3389.1"/>
    <x v="90"/>
  </r>
  <r>
    <n v="92"/>
    <s v="2024-01-27"/>
    <x v="2"/>
    <n v="2024"/>
    <x v="1"/>
    <x v="3"/>
    <s v="Customer_15"/>
    <x v="15"/>
    <n v="3782"/>
    <n v="1.1399999999999999"/>
    <n v="4311.4799999999996"/>
    <n v="0.85"/>
    <n v="3214.7"/>
    <x v="91"/>
  </r>
  <r>
    <n v="93"/>
    <s v="2024-12-17"/>
    <x v="1"/>
    <n v="2024"/>
    <x v="3"/>
    <x v="0"/>
    <s v="Customer_20"/>
    <x v="8"/>
    <n v="2989"/>
    <n v="0.86"/>
    <n v="2570.54"/>
    <n v="0.56999999999999995"/>
    <n v="1703.73"/>
    <x v="92"/>
  </r>
  <r>
    <n v="94"/>
    <s v="2024-10-12"/>
    <x v="5"/>
    <n v="2024"/>
    <x v="3"/>
    <x v="2"/>
    <s v="Customer_100"/>
    <x v="19"/>
    <n v="3616"/>
    <n v="1.1200000000000001"/>
    <n v="4049.92"/>
    <n v="0.8"/>
    <n v="2892.8"/>
    <x v="93"/>
  </r>
  <r>
    <n v="95"/>
    <s v="2024-10-28"/>
    <x v="5"/>
    <n v="2024"/>
    <x v="2"/>
    <x v="2"/>
    <s v="Customer_73"/>
    <x v="18"/>
    <n v="993"/>
    <n v="1.23"/>
    <n v="1221.3900000000001"/>
    <n v="0.97"/>
    <n v="963.21"/>
    <x v="94"/>
  </r>
  <r>
    <n v="96"/>
    <s v="2024-04-16"/>
    <x v="10"/>
    <n v="2024"/>
    <x v="2"/>
    <x v="1"/>
    <s v="Customer_85"/>
    <x v="15"/>
    <n v="1786"/>
    <n v="0.97"/>
    <n v="1732.42"/>
    <n v="0.72"/>
    <n v="1285.92"/>
    <x v="95"/>
  </r>
  <r>
    <n v="97"/>
    <s v="2024-03-21"/>
    <x v="3"/>
    <n v="2024"/>
    <x v="1"/>
    <x v="0"/>
    <s v="Customer_58"/>
    <x v="18"/>
    <n v="4349"/>
    <n v="1"/>
    <n v="4349"/>
    <n v="0.66"/>
    <n v="2870.34"/>
    <x v="96"/>
  </r>
  <r>
    <n v="98"/>
    <s v="2024-12-27"/>
    <x v="1"/>
    <n v="2024"/>
    <x v="1"/>
    <x v="3"/>
    <s v="Customer_10"/>
    <x v="6"/>
    <n v="2667"/>
    <n v="1.35"/>
    <n v="3600.45"/>
    <n v="1.02"/>
    <n v="2720.34"/>
    <x v="97"/>
  </r>
  <r>
    <n v="99"/>
    <s v="2024-12-04"/>
    <x v="1"/>
    <n v="2024"/>
    <x v="1"/>
    <x v="1"/>
    <s v="Customer_15"/>
    <x v="5"/>
    <n v="2341"/>
    <n v="1.25"/>
    <n v="2926.25"/>
    <n v="1.03"/>
    <n v="2411.23"/>
    <x v="98"/>
  </r>
  <r>
    <n v="100"/>
    <s v="2024-03-13"/>
    <x v="3"/>
    <n v="2024"/>
    <x v="0"/>
    <x v="0"/>
    <s v="Customer_22"/>
    <x v="11"/>
    <n v="2864"/>
    <n v="1.1100000000000001"/>
    <n v="3179.04"/>
    <n v="0.8"/>
    <n v="2291.1999999999998"/>
    <x v="99"/>
  </r>
  <r>
    <n v="101"/>
    <s v="2024-06-04"/>
    <x v="8"/>
    <n v="2024"/>
    <x v="2"/>
    <x v="2"/>
    <s v="Customer_65"/>
    <x v="5"/>
    <n v="4545"/>
    <n v="1.1100000000000001"/>
    <n v="5044.95"/>
    <n v="0.83"/>
    <n v="3772.35"/>
    <x v="100"/>
  </r>
  <r>
    <n v="102"/>
    <s v="2024-08-09"/>
    <x v="9"/>
    <n v="2024"/>
    <x v="2"/>
    <x v="3"/>
    <s v="Customer_4"/>
    <x v="15"/>
    <n v="2375"/>
    <n v="1.47"/>
    <n v="3491.25"/>
    <n v="1.19"/>
    <n v="2826.25"/>
    <x v="101"/>
  </r>
  <r>
    <n v="103"/>
    <s v="2024-10-21"/>
    <x v="5"/>
    <n v="2024"/>
    <x v="2"/>
    <x v="0"/>
    <s v="Customer_74"/>
    <x v="7"/>
    <n v="1935"/>
    <n v="1.1299999999999999"/>
    <n v="2186.5500000000002"/>
    <n v="0.86"/>
    <n v="1664.1"/>
    <x v="102"/>
  </r>
  <r>
    <n v="104"/>
    <s v="2024-05-22"/>
    <x v="7"/>
    <n v="2024"/>
    <x v="1"/>
    <x v="1"/>
    <s v="Customer_82"/>
    <x v="12"/>
    <n v="1247"/>
    <n v="1.1299999999999999"/>
    <n v="1409.11"/>
    <n v="0.79"/>
    <n v="985.13"/>
    <x v="103"/>
  </r>
  <r>
    <n v="105"/>
    <s v="2024-06-13"/>
    <x v="8"/>
    <n v="2024"/>
    <x v="3"/>
    <x v="0"/>
    <s v="Customer_43"/>
    <x v="10"/>
    <n v="4558"/>
    <n v="1"/>
    <n v="4558"/>
    <n v="0.84"/>
    <n v="3828.72"/>
    <x v="104"/>
  </r>
  <r>
    <n v="106"/>
    <s v="2024-10-08"/>
    <x v="5"/>
    <n v="2024"/>
    <x v="1"/>
    <x v="0"/>
    <s v="Customer_12"/>
    <x v="16"/>
    <n v="2567"/>
    <n v="1.03"/>
    <n v="2644.01"/>
    <n v="0.87"/>
    <n v="2233.29"/>
    <x v="105"/>
  </r>
  <r>
    <n v="107"/>
    <s v="2024-07-25"/>
    <x v="6"/>
    <n v="2024"/>
    <x v="1"/>
    <x v="0"/>
    <s v="Customer_53"/>
    <x v="7"/>
    <n v="2036"/>
    <n v="1.1599999999999999"/>
    <n v="2361.7600000000002"/>
    <n v="0.88"/>
    <n v="1791.68"/>
    <x v="106"/>
  </r>
  <r>
    <n v="108"/>
    <s v="2024-09-12"/>
    <x v="11"/>
    <n v="2024"/>
    <x v="0"/>
    <x v="2"/>
    <s v="Customer_27"/>
    <x v="0"/>
    <n v="4999"/>
    <n v="0.89"/>
    <n v="4449.1099999999997"/>
    <n v="0.6"/>
    <n v="2999.4"/>
    <x v="107"/>
  </r>
  <r>
    <n v="109"/>
    <s v="2024-12-23"/>
    <x v="1"/>
    <n v="2024"/>
    <x v="0"/>
    <x v="2"/>
    <s v="Customer_4"/>
    <x v="18"/>
    <n v="2460"/>
    <n v="1.3"/>
    <n v="3198"/>
    <n v="0.88"/>
    <n v="2164.8000000000002"/>
    <x v="108"/>
  </r>
  <r>
    <n v="110"/>
    <s v="2024-01-08"/>
    <x v="2"/>
    <n v="2024"/>
    <x v="0"/>
    <x v="2"/>
    <s v="Customer_29"/>
    <x v="17"/>
    <n v="4280"/>
    <n v="1.46"/>
    <n v="6248.8"/>
    <n v="1.1100000000000001"/>
    <n v="4750.8"/>
    <x v="109"/>
  </r>
  <r>
    <n v="111"/>
    <s v="2024-03-19"/>
    <x v="3"/>
    <n v="2024"/>
    <x v="2"/>
    <x v="2"/>
    <s v="Customer_66"/>
    <x v="0"/>
    <n v="3903"/>
    <n v="1.38"/>
    <n v="5386.14"/>
    <n v="1.17"/>
    <n v="4566.51"/>
    <x v="110"/>
  </r>
  <r>
    <n v="112"/>
    <s v="2024-05-04"/>
    <x v="7"/>
    <n v="2024"/>
    <x v="3"/>
    <x v="2"/>
    <s v="Customer_50"/>
    <x v="14"/>
    <n v="4663"/>
    <n v="1.32"/>
    <n v="6155.16"/>
    <n v="0.84"/>
    <n v="3916.92"/>
    <x v="111"/>
  </r>
  <r>
    <n v="113"/>
    <s v="2024-02-05"/>
    <x v="4"/>
    <n v="2024"/>
    <x v="1"/>
    <x v="3"/>
    <s v="Customer_44"/>
    <x v="19"/>
    <n v="2688"/>
    <n v="1.37"/>
    <n v="3682.56"/>
    <n v="0.92"/>
    <n v="2472.96"/>
    <x v="112"/>
  </r>
  <r>
    <n v="114"/>
    <s v="2024-06-01"/>
    <x v="8"/>
    <n v="2024"/>
    <x v="3"/>
    <x v="2"/>
    <s v="Customer_58"/>
    <x v="5"/>
    <n v="4467"/>
    <n v="1.04"/>
    <n v="4645.68"/>
    <n v="0.77"/>
    <n v="3439.59"/>
    <x v="113"/>
  </r>
  <r>
    <n v="115"/>
    <s v="2024-10-05"/>
    <x v="5"/>
    <n v="2024"/>
    <x v="1"/>
    <x v="2"/>
    <s v="Customer_42"/>
    <x v="14"/>
    <n v="2456"/>
    <n v="1.2"/>
    <n v="2947.2"/>
    <n v="0.79"/>
    <n v="1940.24"/>
    <x v="114"/>
  </r>
  <r>
    <n v="116"/>
    <s v="2024-07-29"/>
    <x v="6"/>
    <n v="2024"/>
    <x v="2"/>
    <x v="0"/>
    <s v="Customer_96"/>
    <x v="12"/>
    <n v="3623"/>
    <n v="1.07"/>
    <n v="3876.61"/>
    <n v="0.82"/>
    <n v="2970.86"/>
    <x v="115"/>
  </r>
  <r>
    <n v="117"/>
    <s v="2024-11-29"/>
    <x v="0"/>
    <n v="2024"/>
    <x v="1"/>
    <x v="1"/>
    <s v="Customer_5"/>
    <x v="3"/>
    <n v="4614"/>
    <n v="1.48"/>
    <n v="6828.72"/>
    <n v="1.01"/>
    <n v="4660.1400000000003"/>
    <x v="116"/>
  </r>
  <r>
    <n v="118"/>
    <s v="2024-02-21"/>
    <x v="4"/>
    <n v="2024"/>
    <x v="0"/>
    <x v="2"/>
    <s v="Customer_68"/>
    <x v="2"/>
    <n v="625"/>
    <n v="1.31"/>
    <n v="818.75"/>
    <n v="0.92"/>
    <n v="575"/>
    <x v="117"/>
  </r>
  <r>
    <n v="119"/>
    <s v="2024-12-01"/>
    <x v="1"/>
    <n v="2024"/>
    <x v="0"/>
    <x v="1"/>
    <s v="Customer_61"/>
    <x v="0"/>
    <n v="3273"/>
    <n v="1.24"/>
    <n v="4058.52"/>
    <n v="0.87"/>
    <n v="2847.51"/>
    <x v="118"/>
  </r>
  <r>
    <n v="120"/>
    <s v="2024-02-11"/>
    <x v="4"/>
    <n v="2024"/>
    <x v="1"/>
    <x v="3"/>
    <s v="Customer_41"/>
    <x v="12"/>
    <n v="4932"/>
    <n v="0.83"/>
    <n v="4093.56"/>
    <n v="0.51"/>
    <n v="2515.3200000000002"/>
    <x v="119"/>
  </r>
  <r>
    <n v="121"/>
    <s v="2024-11-19"/>
    <x v="0"/>
    <n v="2024"/>
    <x v="3"/>
    <x v="3"/>
    <s v="Customer_96"/>
    <x v="15"/>
    <n v="4055"/>
    <n v="1.48"/>
    <n v="6001.4"/>
    <n v="1.17"/>
    <n v="4744.3500000000004"/>
    <x v="120"/>
  </r>
  <r>
    <n v="122"/>
    <s v="2024-12-26"/>
    <x v="1"/>
    <n v="2024"/>
    <x v="1"/>
    <x v="0"/>
    <s v="Customer_22"/>
    <x v="11"/>
    <n v="737"/>
    <n v="0.83"/>
    <n v="611.71"/>
    <n v="0.66"/>
    <n v="486.42"/>
    <x v="121"/>
  </r>
  <r>
    <n v="123"/>
    <s v="2024-05-30"/>
    <x v="7"/>
    <n v="2024"/>
    <x v="2"/>
    <x v="3"/>
    <s v="Customer_56"/>
    <x v="3"/>
    <n v="2500"/>
    <n v="1.17"/>
    <n v="2925"/>
    <n v="0.87"/>
    <n v="2175"/>
    <x v="47"/>
  </r>
  <r>
    <n v="124"/>
    <s v="2024-04-02"/>
    <x v="10"/>
    <n v="2024"/>
    <x v="3"/>
    <x v="1"/>
    <s v="Customer_11"/>
    <x v="18"/>
    <n v="3633"/>
    <n v="1.23"/>
    <n v="4468.59"/>
    <n v="0.81"/>
    <n v="2942.73"/>
    <x v="122"/>
  </r>
  <r>
    <n v="125"/>
    <s v="2024-10-25"/>
    <x v="5"/>
    <n v="2024"/>
    <x v="3"/>
    <x v="1"/>
    <s v="Customer_60"/>
    <x v="0"/>
    <n v="4264"/>
    <n v="0.98"/>
    <n v="4178.72"/>
    <n v="0.59"/>
    <n v="2515.7600000000002"/>
    <x v="123"/>
  </r>
  <r>
    <n v="126"/>
    <s v="2024-08-26"/>
    <x v="9"/>
    <n v="2024"/>
    <x v="3"/>
    <x v="3"/>
    <s v="Customer_10"/>
    <x v="2"/>
    <n v="3330"/>
    <n v="1.49"/>
    <n v="4961.7"/>
    <n v="1.01"/>
    <n v="3363.3"/>
    <x v="124"/>
  </r>
  <r>
    <n v="127"/>
    <s v="2024-08-05"/>
    <x v="9"/>
    <n v="2024"/>
    <x v="1"/>
    <x v="3"/>
    <s v="Customer_39"/>
    <x v="14"/>
    <n v="3651"/>
    <n v="1.4"/>
    <n v="5111.3999999999996"/>
    <n v="0.88"/>
    <n v="3212.88"/>
    <x v="125"/>
  </r>
  <r>
    <n v="128"/>
    <s v="2024-07-14"/>
    <x v="6"/>
    <n v="2024"/>
    <x v="2"/>
    <x v="3"/>
    <s v="Customer_90"/>
    <x v="11"/>
    <n v="679"/>
    <n v="1.48"/>
    <n v="1004.92"/>
    <n v="1.1299999999999999"/>
    <n v="767.27"/>
    <x v="126"/>
  </r>
  <r>
    <n v="129"/>
    <s v="2024-05-20"/>
    <x v="7"/>
    <n v="2024"/>
    <x v="0"/>
    <x v="0"/>
    <s v="Customer_78"/>
    <x v="12"/>
    <n v="2844"/>
    <n v="1.34"/>
    <n v="3810.96"/>
    <n v="0.88"/>
    <n v="2502.7199999999998"/>
    <x v="127"/>
  </r>
  <r>
    <n v="130"/>
    <s v="2024-06-29"/>
    <x v="8"/>
    <n v="2024"/>
    <x v="3"/>
    <x v="1"/>
    <s v="Customer_80"/>
    <x v="0"/>
    <n v="1620"/>
    <n v="1.24"/>
    <n v="2008.8"/>
    <n v="1.02"/>
    <n v="1652.4"/>
    <x v="128"/>
  </r>
  <r>
    <n v="131"/>
    <s v="2024-11-26"/>
    <x v="0"/>
    <n v="2024"/>
    <x v="2"/>
    <x v="0"/>
    <s v="Customer_57"/>
    <x v="7"/>
    <n v="3488"/>
    <n v="1.31"/>
    <n v="4569.28"/>
    <n v="0.82"/>
    <n v="2860.16"/>
    <x v="129"/>
  </r>
  <r>
    <n v="132"/>
    <s v="2024-05-31"/>
    <x v="7"/>
    <n v="2024"/>
    <x v="1"/>
    <x v="3"/>
    <s v="Customer_23"/>
    <x v="14"/>
    <n v="1582"/>
    <n v="1.35"/>
    <n v="2135.6999999999998"/>
    <n v="1.1100000000000001"/>
    <n v="1756.02"/>
    <x v="130"/>
  </r>
  <r>
    <n v="133"/>
    <s v="2024-07-06"/>
    <x v="6"/>
    <n v="2024"/>
    <x v="3"/>
    <x v="3"/>
    <s v="Customer_33"/>
    <x v="12"/>
    <n v="2917"/>
    <n v="1.32"/>
    <n v="3850.44"/>
    <n v="0.9"/>
    <n v="2625.3"/>
    <x v="131"/>
  </r>
  <r>
    <n v="134"/>
    <s v="2024-02-28"/>
    <x v="4"/>
    <n v="2024"/>
    <x v="0"/>
    <x v="2"/>
    <s v="Customer_19"/>
    <x v="6"/>
    <n v="3755"/>
    <n v="1.48"/>
    <n v="5557.4"/>
    <n v="1.19"/>
    <n v="4468.45"/>
    <x v="132"/>
  </r>
  <r>
    <n v="135"/>
    <s v="2024-07-06"/>
    <x v="6"/>
    <n v="2024"/>
    <x v="1"/>
    <x v="0"/>
    <s v="Customer_2"/>
    <x v="0"/>
    <n v="4895"/>
    <n v="0.89"/>
    <n v="4356.55"/>
    <n v="0.62"/>
    <n v="3034.9"/>
    <x v="133"/>
  </r>
  <r>
    <n v="136"/>
    <s v="2024-12-10"/>
    <x v="1"/>
    <n v="2024"/>
    <x v="1"/>
    <x v="3"/>
    <s v="Customer_82"/>
    <x v="4"/>
    <n v="1387"/>
    <n v="1.27"/>
    <n v="1761.49"/>
    <n v="0.91"/>
    <n v="1262.17"/>
    <x v="134"/>
  </r>
  <r>
    <n v="137"/>
    <s v="2024-11-13"/>
    <x v="0"/>
    <n v="2024"/>
    <x v="3"/>
    <x v="3"/>
    <s v="Customer_83"/>
    <x v="15"/>
    <n v="4303"/>
    <n v="1.44"/>
    <n v="6196.32"/>
    <n v="0.97"/>
    <n v="4173.91"/>
    <x v="135"/>
  </r>
  <r>
    <n v="138"/>
    <s v="2024-07-28"/>
    <x v="6"/>
    <n v="2024"/>
    <x v="3"/>
    <x v="0"/>
    <s v="Customer_6"/>
    <x v="7"/>
    <n v="2993"/>
    <n v="1.5"/>
    <n v="4489.5"/>
    <n v="0.94"/>
    <n v="2813.42"/>
    <x v="136"/>
  </r>
  <r>
    <n v="139"/>
    <s v="2024-04-30"/>
    <x v="10"/>
    <n v="2024"/>
    <x v="1"/>
    <x v="1"/>
    <s v="Customer_59"/>
    <x v="4"/>
    <n v="4925"/>
    <n v="1.0900000000000001"/>
    <n v="5368.25"/>
    <n v="0.86"/>
    <n v="4235.5"/>
    <x v="137"/>
  </r>
  <r>
    <n v="140"/>
    <s v="2024-03-20"/>
    <x v="3"/>
    <n v="2024"/>
    <x v="0"/>
    <x v="2"/>
    <s v="Customer_63"/>
    <x v="18"/>
    <n v="3843"/>
    <n v="1.46"/>
    <n v="5610.78"/>
    <n v="0.98"/>
    <n v="3766.14"/>
    <x v="138"/>
  </r>
  <r>
    <n v="141"/>
    <s v="2024-12-19"/>
    <x v="1"/>
    <n v="2024"/>
    <x v="3"/>
    <x v="3"/>
    <s v="Customer_57"/>
    <x v="2"/>
    <n v="2434"/>
    <n v="1.4"/>
    <n v="3407.6"/>
    <n v="0.87"/>
    <n v="2117.58"/>
    <x v="139"/>
  </r>
  <r>
    <n v="142"/>
    <s v="2024-12-17"/>
    <x v="1"/>
    <n v="2024"/>
    <x v="2"/>
    <x v="3"/>
    <s v="Customer_8"/>
    <x v="13"/>
    <n v="2760"/>
    <n v="0.93"/>
    <n v="2566.8000000000002"/>
    <n v="0.59"/>
    <n v="1628.4"/>
    <x v="140"/>
  </r>
  <r>
    <n v="143"/>
    <s v="2024-08-20"/>
    <x v="9"/>
    <n v="2024"/>
    <x v="3"/>
    <x v="0"/>
    <s v="Customer_83"/>
    <x v="18"/>
    <n v="674"/>
    <n v="0.84"/>
    <n v="566.16"/>
    <n v="0.56999999999999995"/>
    <n v="384.18"/>
    <x v="141"/>
  </r>
  <r>
    <n v="144"/>
    <s v="2024-03-05"/>
    <x v="3"/>
    <n v="2024"/>
    <x v="0"/>
    <x v="1"/>
    <s v="Customer_98"/>
    <x v="5"/>
    <n v="2197"/>
    <n v="1.21"/>
    <n v="2658.37"/>
    <n v="0.97"/>
    <n v="2131.09"/>
    <x v="142"/>
  </r>
  <r>
    <n v="145"/>
    <s v="2024-04-29"/>
    <x v="10"/>
    <n v="2024"/>
    <x v="3"/>
    <x v="3"/>
    <s v="Customer_77"/>
    <x v="1"/>
    <n v="2771"/>
    <n v="1.4"/>
    <n v="3879.4"/>
    <n v="0.89"/>
    <n v="2466.19"/>
    <x v="143"/>
  </r>
  <r>
    <n v="146"/>
    <s v="2024-03-07"/>
    <x v="3"/>
    <n v="2024"/>
    <x v="3"/>
    <x v="3"/>
    <s v="Customer_15"/>
    <x v="1"/>
    <n v="1579"/>
    <n v="0.81"/>
    <n v="1278.99"/>
    <n v="0.65"/>
    <n v="1026.3499999999999"/>
    <x v="144"/>
  </r>
  <r>
    <n v="147"/>
    <s v="2024-05-01"/>
    <x v="7"/>
    <n v="2024"/>
    <x v="0"/>
    <x v="3"/>
    <s v="Customer_23"/>
    <x v="0"/>
    <n v="929"/>
    <n v="0.89"/>
    <n v="826.81"/>
    <n v="0.63"/>
    <n v="585.27"/>
    <x v="145"/>
  </r>
  <r>
    <n v="148"/>
    <s v="2024-02-28"/>
    <x v="4"/>
    <n v="2024"/>
    <x v="1"/>
    <x v="0"/>
    <s v="Customer_58"/>
    <x v="4"/>
    <n v="4704"/>
    <n v="1.22"/>
    <n v="5738.88"/>
    <n v="0.87"/>
    <n v="4092.48"/>
    <x v="146"/>
  </r>
  <r>
    <n v="149"/>
    <s v="2024-04-23"/>
    <x v="10"/>
    <n v="2024"/>
    <x v="2"/>
    <x v="0"/>
    <s v="Customer_59"/>
    <x v="1"/>
    <n v="998"/>
    <n v="1.5"/>
    <n v="1497"/>
    <n v="1.22"/>
    <n v="1217.56"/>
    <x v="147"/>
  </r>
  <r>
    <n v="150"/>
    <s v="2024-08-06"/>
    <x v="9"/>
    <n v="2024"/>
    <x v="1"/>
    <x v="0"/>
    <s v="Customer_92"/>
    <x v="2"/>
    <n v="1102"/>
    <n v="1.43"/>
    <n v="1575.86"/>
    <n v="0.97"/>
    <n v="1068.94"/>
    <x v="148"/>
  </r>
  <r>
    <n v="151"/>
    <s v="2024-03-16"/>
    <x v="3"/>
    <n v="2024"/>
    <x v="3"/>
    <x v="0"/>
    <s v="Customer_36"/>
    <x v="18"/>
    <n v="4992"/>
    <n v="1.3"/>
    <n v="6489.6"/>
    <n v="0.9"/>
    <n v="4492.8"/>
    <x v="149"/>
  </r>
  <r>
    <n v="152"/>
    <s v="2024-11-01"/>
    <x v="0"/>
    <n v="2024"/>
    <x v="1"/>
    <x v="3"/>
    <s v="Customer_65"/>
    <x v="18"/>
    <n v="4024"/>
    <n v="0.87"/>
    <n v="3500.88"/>
    <n v="0.67"/>
    <n v="2696.08"/>
    <x v="150"/>
  </r>
  <r>
    <n v="153"/>
    <s v="2024-12-01"/>
    <x v="1"/>
    <n v="2024"/>
    <x v="1"/>
    <x v="1"/>
    <s v="Customer_58"/>
    <x v="6"/>
    <n v="3889"/>
    <n v="1.04"/>
    <n v="4044.56"/>
    <n v="0.74"/>
    <n v="2877.86"/>
    <x v="151"/>
  </r>
  <r>
    <n v="154"/>
    <s v="2024-07-31"/>
    <x v="6"/>
    <n v="2024"/>
    <x v="2"/>
    <x v="0"/>
    <s v="Customer_55"/>
    <x v="16"/>
    <n v="2588"/>
    <n v="1.06"/>
    <n v="2743.28"/>
    <n v="0.68"/>
    <n v="1759.84"/>
    <x v="152"/>
  </r>
  <r>
    <n v="155"/>
    <s v="2024-08-30"/>
    <x v="9"/>
    <n v="2024"/>
    <x v="0"/>
    <x v="0"/>
    <s v="Customer_11"/>
    <x v="15"/>
    <n v="4037"/>
    <n v="0.87"/>
    <n v="3512.19"/>
    <n v="0.68"/>
    <n v="2745.16"/>
    <x v="153"/>
  </r>
  <r>
    <n v="156"/>
    <s v="2024-03-07"/>
    <x v="3"/>
    <n v="2024"/>
    <x v="2"/>
    <x v="0"/>
    <s v="Customer_86"/>
    <x v="17"/>
    <n v="3865"/>
    <n v="1.05"/>
    <n v="4058.25"/>
    <n v="0.8"/>
    <n v="3092"/>
    <x v="154"/>
  </r>
  <r>
    <n v="157"/>
    <s v="2024-08-04"/>
    <x v="9"/>
    <n v="2024"/>
    <x v="2"/>
    <x v="0"/>
    <s v="Customer_77"/>
    <x v="11"/>
    <n v="3380"/>
    <n v="0.87"/>
    <n v="2940.6"/>
    <n v="0.63"/>
    <n v="2129.4"/>
    <x v="155"/>
  </r>
  <r>
    <n v="158"/>
    <s v="2024-03-20"/>
    <x v="3"/>
    <n v="2024"/>
    <x v="3"/>
    <x v="2"/>
    <s v="Customer_14"/>
    <x v="4"/>
    <n v="3511"/>
    <n v="0.88"/>
    <n v="3089.68"/>
    <n v="0.59"/>
    <n v="2071.4899999999998"/>
    <x v="156"/>
  </r>
  <r>
    <n v="159"/>
    <s v="2024-04-25"/>
    <x v="10"/>
    <n v="2024"/>
    <x v="0"/>
    <x v="2"/>
    <s v="Customer_78"/>
    <x v="0"/>
    <n v="737"/>
    <n v="0.93"/>
    <n v="685.41"/>
    <n v="0.72"/>
    <n v="530.64"/>
    <x v="157"/>
  </r>
  <r>
    <n v="160"/>
    <s v="2024-06-07"/>
    <x v="8"/>
    <n v="2024"/>
    <x v="2"/>
    <x v="3"/>
    <s v="Customer_1"/>
    <x v="9"/>
    <n v="1673"/>
    <n v="1.2"/>
    <n v="2007.6"/>
    <n v="0.84"/>
    <n v="1405.32"/>
    <x v="158"/>
  </r>
  <r>
    <n v="161"/>
    <s v="2024-03-13"/>
    <x v="3"/>
    <n v="2024"/>
    <x v="0"/>
    <x v="0"/>
    <s v="Customer_96"/>
    <x v="19"/>
    <n v="2262"/>
    <n v="1.06"/>
    <n v="2397.7199999999998"/>
    <n v="0.76"/>
    <n v="1719.12"/>
    <x v="159"/>
  </r>
  <r>
    <n v="162"/>
    <s v="2024-03-21"/>
    <x v="3"/>
    <n v="2024"/>
    <x v="2"/>
    <x v="3"/>
    <s v="Customer_93"/>
    <x v="16"/>
    <n v="1195"/>
    <n v="1.42"/>
    <n v="1696.9"/>
    <n v="0.91"/>
    <n v="1087.45"/>
    <x v="160"/>
  </r>
  <r>
    <n v="163"/>
    <s v="2024-11-12"/>
    <x v="0"/>
    <n v="2024"/>
    <x v="0"/>
    <x v="0"/>
    <s v="Customer_35"/>
    <x v="2"/>
    <n v="3973"/>
    <n v="1.1399999999999999"/>
    <n v="4529.22"/>
    <n v="0.81"/>
    <n v="3218.13"/>
    <x v="161"/>
  </r>
  <r>
    <n v="164"/>
    <s v="2024-05-19"/>
    <x v="7"/>
    <n v="2024"/>
    <x v="0"/>
    <x v="1"/>
    <s v="Customer_45"/>
    <x v="10"/>
    <n v="1408"/>
    <n v="1"/>
    <n v="1408"/>
    <n v="0.77"/>
    <n v="1084.1600000000001"/>
    <x v="162"/>
  </r>
  <r>
    <n v="165"/>
    <s v="2024-09-06"/>
    <x v="11"/>
    <n v="2024"/>
    <x v="0"/>
    <x v="3"/>
    <s v="Customer_29"/>
    <x v="13"/>
    <n v="948"/>
    <n v="0.81"/>
    <n v="767.88"/>
    <n v="0.55000000000000004"/>
    <n v="521.4"/>
    <x v="163"/>
  </r>
  <r>
    <n v="166"/>
    <s v="2024-04-18"/>
    <x v="10"/>
    <n v="2024"/>
    <x v="2"/>
    <x v="1"/>
    <s v="Customer_38"/>
    <x v="16"/>
    <n v="1482"/>
    <n v="0.81"/>
    <n v="1200.42"/>
    <n v="0.64"/>
    <n v="948.48"/>
    <x v="164"/>
  </r>
  <r>
    <n v="167"/>
    <s v="2024-03-30"/>
    <x v="3"/>
    <n v="2024"/>
    <x v="1"/>
    <x v="1"/>
    <s v="Customer_69"/>
    <x v="6"/>
    <n v="4598"/>
    <n v="1.19"/>
    <n v="5471.62"/>
    <n v="0.91"/>
    <n v="4184.18"/>
    <x v="165"/>
  </r>
  <r>
    <n v="168"/>
    <s v="2024-06-30"/>
    <x v="8"/>
    <n v="2024"/>
    <x v="1"/>
    <x v="0"/>
    <s v="Customer_95"/>
    <x v="7"/>
    <n v="4073"/>
    <n v="0.81"/>
    <n v="3299.13"/>
    <n v="0.67"/>
    <n v="2728.91"/>
    <x v="166"/>
  </r>
  <r>
    <n v="169"/>
    <s v="2024-06-09"/>
    <x v="8"/>
    <n v="2024"/>
    <x v="1"/>
    <x v="2"/>
    <s v="Customer_91"/>
    <x v="10"/>
    <n v="2871"/>
    <n v="0.88"/>
    <n v="2526.48"/>
    <n v="0.53"/>
    <n v="1521.63"/>
    <x v="167"/>
  </r>
  <r>
    <n v="170"/>
    <s v="2024-06-15"/>
    <x v="8"/>
    <n v="2024"/>
    <x v="1"/>
    <x v="1"/>
    <s v="Customer_89"/>
    <x v="4"/>
    <n v="1221"/>
    <n v="1.1100000000000001"/>
    <n v="1355.31"/>
    <n v="0.7"/>
    <n v="854.7"/>
    <x v="168"/>
  </r>
  <r>
    <n v="171"/>
    <s v="2024-08-11"/>
    <x v="9"/>
    <n v="2024"/>
    <x v="0"/>
    <x v="2"/>
    <s v="Customer_51"/>
    <x v="11"/>
    <n v="3281"/>
    <n v="0.96"/>
    <n v="3149.76"/>
    <n v="0.76"/>
    <n v="2493.56"/>
    <x v="169"/>
  </r>
  <r>
    <n v="172"/>
    <s v="2024-02-09"/>
    <x v="4"/>
    <n v="2024"/>
    <x v="3"/>
    <x v="0"/>
    <s v="Customer_100"/>
    <x v="4"/>
    <n v="3376"/>
    <n v="1.31"/>
    <n v="4422.5600000000004"/>
    <n v="1.05"/>
    <n v="3544.8"/>
    <x v="170"/>
  </r>
  <r>
    <n v="173"/>
    <s v="2024-03-16"/>
    <x v="3"/>
    <n v="2024"/>
    <x v="0"/>
    <x v="1"/>
    <s v="Customer_19"/>
    <x v="0"/>
    <n v="2116"/>
    <n v="0.92"/>
    <n v="1946.72"/>
    <n v="0.59"/>
    <n v="1248.44"/>
    <x v="171"/>
  </r>
  <r>
    <n v="174"/>
    <s v="2024-12-01"/>
    <x v="1"/>
    <n v="2024"/>
    <x v="3"/>
    <x v="0"/>
    <s v="Customer_99"/>
    <x v="12"/>
    <n v="4300"/>
    <n v="1.33"/>
    <n v="5719"/>
    <n v="1.05"/>
    <n v="4515"/>
    <x v="172"/>
  </r>
  <r>
    <n v="175"/>
    <s v="2024-08-17"/>
    <x v="9"/>
    <n v="2024"/>
    <x v="2"/>
    <x v="3"/>
    <s v="Customer_20"/>
    <x v="2"/>
    <n v="1059"/>
    <n v="1.1299999999999999"/>
    <n v="1196.67"/>
    <n v="0.86"/>
    <n v="910.74"/>
    <x v="173"/>
  </r>
  <r>
    <n v="176"/>
    <s v="2024-05-20"/>
    <x v="7"/>
    <n v="2024"/>
    <x v="2"/>
    <x v="0"/>
    <s v="Customer_65"/>
    <x v="15"/>
    <n v="3042"/>
    <n v="1.1200000000000001"/>
    <n v="3407.04"/>
    <n v="0.68"/>
    <n v="2068.56"/>
    <x v="174"/>
  </r>
  <r>
    <n v="177"/>
    <s v="2024-07-07"/>
    <x v="6"/>
    <n v="2024"/>
    <x v="0"/>
    <x v="3"/>
    <s v="Customer_83"/>
    <x v="15"/>
    <n v="4653"/>
    <n v="1.07"/>
    <n v="4978.71"/>
    <n v="0.8"/>
    <n v="3722.4"/>
    <x v="175"/>
  </r>
  <r>
    <n v="178"/>
    <s v="2024-01-22"/>
    <x v="2"/>
    <n v="2024"/>
    <x v="3"/>
    <x v="2"/>
    <s v="Customer_42"/>
    <x v="18"/>
    <n v="4396"/>
    <n v="1.1499999999999999"/>
    <n v="5055.3999999999996"/>
    <n v="0.97"/>
    <n v="4264.12"/>
    <x v="176"/>
  </r>
  <r>
    <n v="179"/>
    <s v="2024-08-18"/>
    <x v="9"/>
    <n v="2024"/>
    <x v="2"/>
    <x v="0"/>
    <s v="Customer_92"/>
    <x v="15"/>
    <n v="4633"/>
    <n v="1.25"/>
    <n v="5791.25"/>
    <n v="0.76"/>
    <n v="3521.08"/>
    <x v="177"/>
  </r>
  <r>
    <n v="180"/>
    <s v="2024-12-28"/>
    <x v="1"/>
    <n v="2024"/>
    <x v="1"/>
    <x v="2"/>
    <s v="Customer_68"/>
    <x v="19"/>
    <n v="1800"/>
    <n v="1.05"/>
    <n v="1890"/>
    <n v="0.87"/>
    <n v="1566"/>
    <x v="178"/>
  </r>
  <r>
    <n v="181"/>
    <s v="2024-07-17"/>
    <x v="6"/>
    <n v="2024"/>
    <x v="2"/>
    <x v="2"/>
    <s v="Customer_87"/>
    <x v="18"/>
    <n v="928"/>
    <n v="1.35"/>
    <n v="1252.8"/>
    <n v="1.03"/>
    <n v="955.84"/>
    <x v="179"/>
  </r>
  <r>
    <n v="182"/>
    <s v="2024-02-03"/>
    <x v="4"/>
    <n v="2024"/>
    <x v="0"/>
    <x v="3"/>
    <s v="Customer_72"/>
    <x v="13"/>
    <n v="2827"/>
    <n v="0.98"/>
    <n v="2770.46"/>
    <n v="0.8"/>
    <n v="2261.6"/>
    <x v="180"/>
  </r>
  <r>
    <n v="183"/>
    <s v="2024-11-04"/>
    <x v="0"/>
    <n v="2024"/>
    <x v="2"/>
    <x v="1"/>
    <s v="Customer_11"/>
    <x v="8"/>
    <n v="1658"/>
    <n v="1.44"/>
    <n v="2387.52"/>
    <n v="0.98"/>
    <n v="1624.84"/>
    <x v="181"/>
  </r>
  <r>
    <n v="184"/>
    <s v="2024-12-01"/>
    <x v="1"/>
    <n v="2024"/>
    <x v="3"/>
    <x v="2"/>
    <s v="Customer_77"/>
    <x v="15"/>
    <n v="3036"/>
    <n v="1.19"/>
    <n v="3612.84"/>
    <n v="0.91"/>
    <n v="2762.76"/>
    <x v="182"/>
  </r>
  <r>
    <n v="185"/>
    <s v="2024-06-17"/>
    <x v="8"/>
    <n v="2024"/>
    <x v="0"/>
    <x v="1"/>
    <s v="Customer_83"/>
    <x v="10"/>
    <n v="4665"/>
    <n v="1.05"/>
    <n v="4898.25"/>
    <n v="0.73"/>
    <n v="3405.45"/>
    <x v="183"/>
  </r>
  <r>
    <n v="186"/>
    <s v="2024-04-02"/>
    <x v="10"/>
    <n v="2024"/>
    <x v="2"/>
    <x v="1"/>
    <s v="Customer_99"/>
    <x v="12"/>
    <n v="2072"/>
    <n v="0.96"/>
    <n v="1989.12"/>
    <n v="0.61"/>
    <n v="1263.92"/>
    <x v="184"/>
  </r>
  <r>
    <n v="187"/>
    <s v="2024-02-09"/>
    <x v="4"/>
    <n v="2024"/>
    <x v="0"/>
    <x v="3"/>
    <s v="Customer_65"/>
    <x v="5"/>
    <n v="4813"/>
    <n v="0.83"/>
    <n v="3994.79"/>
    <n v="0.56999999999999995"/>
    <n v="2743.41"/>
    <x v="185"/>
  </r>
  <r>
    <n v="188"/>
    <s v="2024-11-12"/>
    <x v="0"/>
    <n v="2024"/>
    <x v="1"/>
    <x v="1"/>
    <s v="Customer_20"/>
    <x v="9"/>
    <n v="1981"/>
    <n v="1.38"/>
    <n v="2733.78"/>
    <n v="1.0900000000000001"/>
    <n v="2159.29"/>
    <x v="186"/>
  </r>
  <r>
    <n v="189"/>
    <s v="2024-03-25"/>
    <x v="3"/>
    <n v="2024"/>
    <x v="0"/>
    <x v="2"/>
    <s v="Customer_53"/>
    <x v="4"/>
    <n v="2445"/>
    <n v="1.48"/>
    <n v="3618.6"/>
    <n v="1.1100000000000001"/>
    <n v="2713.95"/>
    <x v="187"/>
  </r>
  <r>
    <n v="190"/>
    <s v="2024-08-17"/>
    <x v="9"/>
    <n v="2024"/>
    <x v="3"/>
    <x v="1"/>
    <s v="Customer_40"/>
    <x v="12"/>
    <n v="2089"/>
    <n v="1.06"/>
    <n v="2214.34"/>
    <n v="0.89"/>
    <n v="1859.21"/>
    <x v="188"/>
  </r>
  <r>
    <n v="191"/>
    <s v="2024-08-13"/>
    <x v="9"/>
    <n v="2024"/>
    <x v="2"/>
    <x v="2"/>
    <s v="Customer_100"/>
    <x v="13"/>
    <n v="4619"/>
    <n v="1.17"/>
    <n v="5404.23"/>
    <n v="0.98"/>
    <n v="4526.62"/>
    <x v="189"/>
  </r>
  <r>
    <n v="192"/>
    <s v="2024-04-12"/>
    <x v="10"/>
    <n v="2024"/>
    <x v="2"/>
    <x v="1"/>
    <s v="Customer_7"/>
    <x v="12"/>
    <n v="3540"/>
    <n v="1.19"/>
    <n v="4212.6000000000004"/>
    <n v="0.74"/>
    <n v="2619.6"/>
    <x v="190"/>
  </r>
  <r>
    <n v="193"/>
    <s v="2024-09-21"/>
    <x v="11"/>
    <n v="2024"/>
    <x v="2"/>
    <x v="0"/>
    <s v="Customer_11"/>
    <x v="9"/>
    <n v="2734"/>
    <n v="1.1100000000000001"/>
    <n v="3034.74"/>
    <n v="0.81"/>
    <n v="2214.54"/>
    <x v="191"/>
  </r>
  <r>
    <n v="194"/>
    <s v="2024-08-11"/>
    <x v="9"/>
    <n v="2024"/>
    <x v="3"/>
    <x v="0"/>
    <s v="Customer_58"/>
    <x v="4"/>
    <n v="718"/>
    <n v="1.0900000000000001"/>
    <n v="782.62"/>
    <n v="0.76"/>
    <n v="545.67999999999995"/>
    <x v="192"/>
  </r>
  <r>
    <n v="195"/>
    <s v="2024-07-10"/>
    <x v="6"/>
    <n v="2024"/>
    <x v="1"/>
    <x v="1"/>
    <s v="Customer_11"/>
    <x v="4"/>
    <n v="2339"/>
    <n v="0.82"/>
    <n v="1917.98"/>
    <n v="0.68"/>
    <n v="1590.52"/>
    <x v="193"/>
  </r>
  <r>
    <n v="196"/>
    <s v="2024-12-31"/>
    <x v="1"/>
    <n v="2024"/>
    <x v="3"/>
    <x v="3"/>
    <s v="Customer_18"/>
    <x v="7"/>
    <n v="2850"/>
    <n v="1.44"/>
    <n v="4104"/>
    <n v="1.03"/>
    <n v="2935.5"/>
    <x v="194"/>
  </r>
  <r>
    <n v="197"/>
    <s v="2024-03-12"/>
    <x v="3"/>
    <n v="2024"/>
    <x v="1"/>
    <x v="2"/>
    <s v="Customer_79"/>
    <x v="1"/>
    <n v="1149"/>
    <n v="0.81"/>
    <n v="930.69"/>
    <n v="0.53"/>
    <n v="608.97"/>
    <x v="195"/>
  </r>
  <r>
    <n v="198"/>
    <s v="2024-03-17"/>
    <x v="3"/>
    <n v="2024"/>
    <x v="0"/>
    <x v="2"/>
    <s v="Customer_100"/>
    <x v="11"/>
    <n v="2446"/>
    <n v="1.01"/>
    <n v="2470.46"/>
    <n v="0.62"/>
    <n v="1516.52"/>
    <x v="196"/>
  </r>
  <r>
    <n v="199"/>
    <s v="2024-08-02"/>
    <x v="9"/>
    <n v="2024"/>
    <x v="0"/>
    <x v="2"/>
    <s v="Customer_15"/>
    <x v="12"/>
    <n v="4891"/>
    <n v="0.81"/>
    <n v="3961.71"/>
    <n v="0.59"/>
    <n v="2885.69"/>
    <x v="197"/>
  </r>
  <r>
    <n v="200"/>
    <s v="2024-05-03"/>
    <x v="7"/>
    <n v="2024"/>
    <x v="2"/>
    <x v="1"/>
    <s v="Customer_55"/>
    <x v="1"/>
    <n v="3390"/>
    <n v="0.97"/>
    <n v="3288.3"/>
    <n v="0.68"/>
    <n v="2305.1999999999998"/>
    <x v="198"/>
  </r>
  <r>
    <n v="201"/>
    <s v="2024-12-06"/>
    <x v="1"/>
    <n v="2024"/>
    <x v="2"/>
    <x v="0"/>
    <s v="Customer_9"/>
    <x v="19"/>
    <n v="4957"/>
    <n v="1.1599999999999999"/>
    <n v="5750.12"/>
    <n v="0.98"/>
    <n v="4857.8599999999997"/>
    <x v="199"/>
  </r>
  <r>
    <n v="202"/>
    <s v="2024-10-10"/>
    <x v="5"/>
    <n v="2024"/>
    <x v="1"/>
    <x v="0"/>
    <s v="Customer_61"/>
    <x v="7"/>
    <n v="3669"/>
    <n v="1.49"/>
    <n v="5466.81"/>
    <n v="0.99"/>
    <n v="3632.31"/>
    <x v="200"/>
  </r>
  <r>
    <n v="203"/>
    <s v="2024-01-09"/>
    <x v="2"/>
    <n v="2024"/>
    <x v="0"/>
    <x v="3"/>
    <s v="Customer_45"/>
    <x v="6"/>
    <n v="1349"/>
    <n v="1.34"/>
    <n v="1807.66"/>
    <n v="1.05"/>
    <n v="1416.45"/>
    <x v="201"/>
  </r>
  <r>
    <n v="204"/>
    <s v="2024-06-19"/>
    <x v="8"/>
    <n v="2024"/>
    <x v="0"/>
    <x v="1"/>
    <s v="Customer_46"/>
    <x v="5"/>
    <n v="3273"/>
    <n v="1.37"/>
    <n v="4484.01"/>
    <n v="0.88"/>
    <n v="2880.24"/>
    <x v="202"/>
  </r>
  <r>
    <n v="205"/>
    <s v="2024-12-16"/>
    <x v="1"/>
    <n v="2024"/>
    <x v="1"/>
    <x v="2"/>
    <s v="Customer_81"/>
    <x v="9"/>
    <n v="1604"/>
    <n v="0.84"/>
    <n v="1347.36"/>
    <n v="0.67"/>
    <n v="1074.68"/>
    <x v="203"/>
  </r>
  <r>
    <n v="206"/>
    <s v="2024-08-22"/>
    <x v="9"/>
    <n v="2024"/>
    <x v="2"/>
    <x v="0"/>
    <s v="Customer_26"/>
    <x v="7"/>
    <n v="2134"/>
    <n v="1.42"/>
    <n v="3030.28"/>
    <n v="0.96"/>
    <n v="2048.64"/>
    <x v="204"/>
  </r>
  <r>
    <n v="207"/>
    <s v="2024-06-07"/>
    <x v="8"/>
    <n v="2024"/>
    <x v="1"/>
    <x v="2"/>
    <s v="Customer_33"/>
    <x v="7"/>
    <n v="2065"/>
    <n v="1"/>
    <n v="2065"/>
    <n v="0.82"/>
    <n v="1693.3"/>
    <x v="205"/>
  </r>
  <r>
    <n v="208"/>
    <s v="2024-01-25"/>
    <x v="2"/>
    <n v="2024"/>
    <x v="2"/>
    <x v="3"/>
    <s v="Customer_16"/>
    <x v="4"/>
    <n v="4079"/>
    <n v="1.42"/>
    <n v="5792.18"/>
    <n v="1.1200000000000001"/>
    <n v="4568.4799999999996"/>
    <x v="206"/>
  </r>
  <r>
    <n v="209"/>
    <s v="2024-07-16"/>
    <x v="6"/>
    <n v="2024"/>
    <x v="3"/>
    <x v="3"/>
    <s v="Customer_64"/>
    <x v="12"/>
    <n v="3509"/>
    <n v="1.45"/>
    <n v="5088.05"/>
    <n v="1.06"/>
    <n v="3719.54"/>
    <x v="207"/>
  </r>
  <r>
    <n v="210"/>
    <s v="2024-02-12"/>
    <x v="4"/>
    <n v="2024"/>
    <x v="0"/>
    <x v="2"/>
    <s v="Customer_56"/>
    <x v="18"/>
    <n v="1978"/>
    <n v="1.18"/>
    <n v="2334.04"/>
    <n v="0.8"/>
    <n v="1582.4"/>
    <x v="208"/>
  </r>
  <r>
    <n v="211"/>
    <s v="2024-02-10"/>
    <x v="4"/>
    <n v="2024"/>
    <x v="2"/>
    <x v="3"/>
    <s v="Customer_40"/>
    <x v="2"/>
    <n v="3990"/>
    <n v="0.92"/>
    <n v="3670.8"/>
    <n v="0.65"/>
    <n v="2593.5"/>
    <x v="209"/>
  </r>
  <r>
    <n v="212"/>
    <s v="2024-08-16"/>
    <x v="9"/>
    <n v="2024"/>
    <x v="2"/>
    <x v="0"/>
    <s v="Customer_79"/>
    <x v="10"/>
    <n v="2749"/>
    <n v="1.25"/>
    <n v="3436.25"/>
    <n v="1"/>
    <n v="2749"/>
    <x v="210"/>
  </r>
  <r>
    <n v="213"/>
    <s v="2024-01-30"/>
    <x v="2"/>
    <n v="2024"/>
    <x v="1"/>
    <x v="0"/>
    <s v="Customer_47"/>
    <x v="19"/>
    <n v="1810"/>
    <n v="1.47"/>
    <n v="2660.7"/>
    <n v="0.93"/>
    <n v="1683.3"/>
    <x v="211"/>
  </r>
  <r>
    <n v="214"/>
    <s v="2024-11-07"/>
    <x v="0"/>
    <n v="2024"/>
    <x v="0"/>
    <x v="2"/>
    <s v="Customer_17"/>
    <x v="15"/>
    <n v="2433"/>
    <n v="1.34"/>
    <n v="3260.22"/>
    <n v="0.93"/>
    <n v="2262.69"/>
    <x v="212"/>
  </r>
  <r>
    <n v="215"/>
    <s v="2024-07-15"/>
    <x v="6"/>
    <n v="2024"/>
    <x v="3"/>
    <x v="0"/>
    <s v="Customer_87"/>
    <x v="2"/>
    <n v="3538"/>
    <n v="1.06"/>
    <n v="3750.28"/>
    <n v="0.84"/>
    <n v="2971.92"/>
    <x v="213"/>
  </r>
  <r>
    <n v="216"/>
    <s v="2024-10-20"/>
    <x v="5"/>
    <n v="2024"/>
    <x v="2"/>
    <x v="1"/>
    <s v="Customer_51"/>
    <x v="16"/>
    <n v="2783"/>
    <n v="0.97"/>
    <n v="2699.51"/>
    <n v="0.61"/>
    <n v="1697.63"/>
    <x v="214"/>
  </r>
  <r>
    <n v="217"/>
    <s v="2024-04-05"/>
    <x v="10"/>
    <n v="2024"/>
    <x v="1"/>
    <x v="2"/>
    <s v="Customer_72"/>
    <x v="17"/>
    <n v="2644"/>
    <n v="1.34"/>
    <n v="3542.96"/>
    <n v="1.04"/>
    <n v="2749.76"/>
    <x v="215"/>
  </r>
  <r>
    <n v="218"/>
    <s v="2024-04-19"/>
    <x v="10"/>
    <n v="2024"/>
    <x v="1"/>
    <x v="3"/>
    <s v="Customer_26"/>
    <x v="17"/>
    <n v="1611"/>
    <n v="1.4"/>
    <n v="2255.4"/>
    <n v="1"/>
    <n v="1611"/>
    <x v="216"/>
  </r>
  <r>
    <n v="219"/>
    <s v="2024-12-31"/>
    <x v="1"/>
    <n v="2024"/>
    <x v="0"/>
    <x v="2"/>
    <s v="Customer_88"/>
    <x v="16"/>
    <n v="3346"/>
    <n v="1.3"/>
    <n v="4349.8"/>
    <n v="0.96"/>
    <n v="3212.16"/>
    <x v="217"/>
  </r>
  <r>
    <n v="220"/>
    <s v="2024-05-28"/>
    <x v="7"/>
    <n v="2024"/>
    <x v="3"/>
    <x v="3"/>
    <s v="Customer_92"/>
    <x v="9"/>
    <n v="3461"/>
    <n v="1.1599999999999999"/>
    <n v="4014.76"/>
    <n v="0.73"/>
    <n v="2526.5300000000002"/>
    <x v="218"/>
  </r>
  <r>
    <n v="221"/>
    <s v="2024-04-12"/>
    <x v="10"/>
    <n v="2024"/>
    <x v="3"/>
    <x v="1"/>
    <s v="Customer_64"/>
    <x v="1"/>
    <n v="3456"/>
    <n v="1.19"/>
    <n v="4112.6400000000003"/>
    <n v="0.82"/>
    <n v="2833.92"/>
    <x v="219"/>
  </r>
  <r>
    <n v="222"/>
    <s v="2024-10-09"/>
    <x v="5"/>
    <n v="2024"/>
    <x v="0"/>
    <x v="1"/>
    <s v="Customer_9"/>
    <x v="11"/>
    <n v="3761"/>
    <n v="1.5"/>
    <n v="5641.5"/>
    <n v="1.17"/>
    <n v="4400.37"/>
    <x v="220"/>
  </r>
  <r>
    <n v="223"/>
    <s v="2024-09-26"/>
    <x v="11"/>
    <n v="2024"/>
    <x v="1"/>
    <x v="2"/>
    <s v="Customer_74"/>
    <x v="15"/>
    <n v="1526"/>
    <n v="1.48"/>
    <n v="2258.48"/>
    <n v="1.1299999999999999"/>
    <n v="1724.38"/>
    <x v="221"/>
  </r>
  <r>
    <n v="224"/>
    <s v="2024-08-18"/>
    <x v="9"/>
    <n v="2024"/>
    <x v="2"/>
    <x v="2"/>
    <s v="Customer_17"/>
    <x v="5"/>
    <n v="1990"/>
    <n v="1.34"/>
    <n v="2666.6"/>
    <n v="0.85"/>
    <n v="1691.5"/>
    <x v="222"/>
  </r>
  <r>
    <n v="225"/>
    <s v="2024-09-14"/>
    <x v="11"/>
    <n v="2024"/>
    <x v="0"/>
    <x v="0"/>
    <s v="Customer_67"/>
    <x v="3"/>
    <n v="2991"/>
    <n v="0.92"/>
    <n v="2751.72"/>
    <n v="0.63"/>
    <n v="1884.33"/>
    <x v="223"/>
  </r>
  <r>
    <n v="226"/>
    <s v="2024-12-29"/>
    <x v="1"/>
    <n v="2024"/>
    <x v="2"/>
    <x v="1"/>
    <s v="Customer_67"/>
    <x v="11"/>
    <n v="1146"/>
    <n v="0.98"/>
    <n v="1123.08"/>
    <n v="0.74"/>
    <n v="848.04"/>
    <x v="224"/>
  </r>
  <r>
    <n v="227"/>
    <s v="2024-10-09"/>
    <x v="5"/>
    <n v="2024"/>
    <x v="3"/>
    <x v="3"/>
    <s v="Customer_81"/>
    <x v="11"/>
    <n v="4870"/>
    <n v="0.87"/>
    <n v="4236.8999999999996"/>
    <n v="0.66"/>
    <n v="3214.2"/>
    <x v="225"/>
  </r>
  <r>
    <n v="228"/>
    <s v="2024-10-30"/>
    <x v="5"/>
    <n v="2024"/>
    <x v="3"/>
    <x v="1"/>
    <s v="Customer_85"/>
    <x v="18"/>
    <n v="3265"/>
    <n v="1.39"/>
    <n v="4538.3500000000004"/>
    <n v="1.03"/>
    <n v="3362.95"/>
    <x v="226"/>
  </r>
  <r>
    <n v="229"/>
    <s v="2024-01-15"/>
    <x v="2"/>
    <n v="2024"/>
    <x v="0"/>
    <x v="0"/>
    <s v="Customer_83"/>
    <x v="8"/>
    <n v="2668"/>
    <n v="1.26"/>
    <n v="3361.68"/>
    <n v="1"/>
    <n v="2668"/>
    <x v="227"/>
  </r>
  <r>
    <n v="230"/>
    <s v="2024-08-01"/>
    <x v="9"/>
    <n v="2024"/>
    <x v="1"/>
    <x v="0"/>
    <s v="Customer_81"/>
    <x v="5"/>
    <n v="2872"/>
    <n v="1.25"/>
    <n v="3590"/>
    <n v="0.84"/>
    <n v="2412.48"/>
    <x v="228"/>
  </r>
  <r>
    <n v="231"/>
    <s v="2024-05-05"/>
    <x v="7"/>
    <n v="2024"/>
    <x v="2"/>
    <x v="2"/>
    <s v="Customer_59"/>
    <x v="15"/>
    <n v="990"/>
    <n v="0.91"/>
    <n v="900.9"/>
    <n v="0.64"/>
    <n v="633.6"/>
    <x v="229"/>
  </r>
  <r>
    <n v="232"/>
    <s v="2024-08-25"/>
    <x v="9"/>
    <n v="2024"/>
    <x v="2"/>
    <x v="1"/>
    <s v="Customer_78"/>
    <x v="3"/>
    <n v="3060"/>
    <n v="1.4"/>
    <n v="4284"/>
    <n v="0.95"/>
    <n v="2907"/>
    <x v="230"/>
  </r>
  <r>
    <n v="233"/>
    <s v="2024-06-25"/>
    <x v="8"/>
    <n v="2024"/>
    <x v="3"/>
    <x v="2"/>
    <s v="Customer_98"/>
    <x v="4"/>
    <n v="4718"/>
    <n v="1.19"/>
    <n v="5614.42"/>
    <n v="0.81"/>
    <n v="3821.58"/>
    <x v="231"/>
  </r>
  <r>
    <n v="234"/>
    <s v="2024-08-26"/>
    <x v="9"/>
    <n v="2024"/>
    <x v="2"/>
    <x v="0"/>
    <s v="Customer_58"/>
    <x v="6"/>
    <n v="1654"/>
    <n v="0.87"/>
    <n v="1438.98"/>
    <n v="0.59"/>
    <n v="975.86"/>
    <x v="232"/>
  </r>
  <r>
    <n v="235"/>
    <s v="2024-07-15"/>
    <x v="6"/>
    <n v="2024"/>
    <x v="3"/>
    <x v="2"/>
    <s v="Customer_21"/>
    <x v="16"/>
    <n v="3061"/>
    <n v="0.93"/>
    <n v="2846.73"/>
    <n v="0.6"/>
    <n v="1836.6"/>
    <x v="233"/>
  </r>
  <r>
    <n v="236"/>
    <s v="2024-09-20"/>
    <x v="11"/>
    <n v="2024"/>
    <x v="1"/>
    <x v="2"/>
    <s v="Customer_40"/>
    <x v="12"/>
    <n v="689"/>
    <n v="0.86"/>
    <n v="592.54"/>
    <n v="0.6"/>
    <n v="413.4"/>
    <x v="234"/>
  </r>
  <r>
    <n v="237"/>
    <s v="2024-08-22"/>
    <x v="9"/>
    <n v="2024"/>
    <x v="3"/>
    <x v="1"/>
    <s v="Customer_75"/>
    <x v="4"/>
    <n v="898"/>
    <n v="0.84"/>
    <n v="754.32"/>
    <n v="0.61"/>
    <n v="547.78"/>
    <x v="235"/>
  </r>
  <r>
    <n v="238"/>
    <s v="2024-11-30"/>
    <x v="0"/>
    <n v="2024"/>
    <x v="2"/>
    <x v="2"/>
    <s v="Customer_69"/>
    <x v="1"/>
    <n v="1380"/>
    <n v="1.1000000000000001"/>
    <n v="1518"/>
    <n v="0.9"/>
    <n v="1242"/>
    <x v="236"/>
  </r>
  <r>
    <n v="239"/>
    <s v="2024-07-06"/>
    <x v="6"/>
    <n v="2024"/>
    <x v="2"/>
    <x v="2"/>
    <s v="Customer_6"/>
    <x v="13"/>
    <n v="919"/>
    <n v="1.2"/>
    <n v="1102.8"/>
    <n v="0.78"/>
    <n v="716.82"/>
    <x v="237"/>
  </r>
  <r>
    <n v="240"/>
    <s v="2024-10-10"/>
    <x v="5"/>
    <n v="2024"/>
    <x v="0"/>
    <x v="3"/>
    <s v="Customer_50"/>
    <x v="19"/>
    <n v="4189"/>
    <n v="1.34"/>
    <n v="5613.26"/>
    <n v="0.9"/>
    <n v="3770.1"/>
    <x v="238"/>
  </r>
  <r>
    <n v="241"/>
    <s v="2024-11-15"/>
    <x v="0"/>
    <n v="2024"/>
    <x v="3"/>
    <x v="0"/>
    <s v="Customer_13"/>
    <x v="13"/>
    <n v="3557"/>
    <n v="1.36"/>
    <n v="4837.5200000000004"/>
    <n v="0.93"/>
    <n v="3308.01"/>
    <x v="239"/>
  </r>
  <r>
    <n v="242"/>
    <s v="2024-07-06"/>
    <x v="6"/>
    <n v="2024"/>
    <x v="3"/>
    <x v="1"/>
    <s v="Customer_78"/>
    <x v="19"/>
    <n v="3788"/>
    <n v="1.1499999999999999"/>
    <n v="4356.2"/>
    <n v="0.7"/>
    <n v="2651.6"/>
    <x v="240"/>
  </r>
  <r>
    <n v="243"/>
    <s v="2024-03-11"/>
    <x v="3"/>
    <n v="2024"/>
    <x v="1"/>
    <x v="3"/>
    <s v="Customer_67"/>
    <x v="2"/>
    <n v="1720"/>
    <n v="1.22"/>
    <n v="2098.4"/>
    <n v="0.89"/>
    <n v="1530.8"/>
    <x v="241"/>
  </r>
  <r>
    <n v="244"/>
    <s v="2024-06-16"/>
    <x v="8"/>
    <n v="2024"/>
    <x v="3"/>
    <x v="3"/>
    <s v="Customer_51"/>
    <x v="18"/>
    <n v="2951"/>
    <n v="1.22"/>
    <n v="3600.22"/>
    <n v="0.89"/>
    <n v="2626.39"/>
    <x v="242"/>
  </r>
  <r>
    <n v="245"/>
    <s v="2024-09-17"/>
    <x v="11"/>
    <n v="2024"/>
    <x v="2"/>
    <x v="2"/>
    <s v="Customer_61"/>
    <x v="1"/>
    <n v="3517"/>
    <n v="1.03"/>
    <n v="3622.51"/>
    <n v="0.65"/>
    <n v="2286.0500000000002"/>
    <x v="243"/>
  </r>
  <r>
    <n v="246"/>
    <s v="2024-08-01"/>
    <x v="9"/>
    <n v="2024"/>
    <x v="0"/>
    <x v="3"/>
    <s v="Customer_77"/>
    <x v="12"/>
    <n v="2675"/>
    <n v="1.48"/>
    <n v="3959"/>
    <n v="1.18"/>
    <n v="3156.5"/>
    <x v="244"/>
  </r>
  <r>
    <n v="247"/>
    <s v="2024-10-23"/>
    <x v="5"/>
    <n v="2024"/>
    <x v="0"/>
    <x v="1"/>
    <s v="Customer_75"/>
    <x v="12"/>
    <n v="1896"/>
    <n v="1.17"/>
    <n v="2218.3200000000002"/>
    <n v="0.91"/>
    <n v="1725.36"/>
    <x v="245"/>
  </r>
  <r>
    <n v="248"/>
    <s v="2024-07-13"/>
    <x v="6"/>
    <n v="2024"/>
    <x v="3"/>
    <x v="1"/>
    <s v="Customer_5"/>
    <x v="8"/>
    <n v="1400"/>
    <n v="0.93"/>
    <n v="1302"/>
    <n v="0.66"/>
    <n v="924"/>
    <x v="246"/>
  </r>
  <r>
    <n v="249"/>
    <s v="2024-08-02"/>
    <x v="9"/>
    <n v="2024"/>
    <x v="1"/>
    <x v="1"/>
    <s v="Customer_89"/>
    <x v="14"/>
    <n v="3861"/>
    <n v="1.1499999999999999"/>
    <n v="4440.1499999999996"/>
    <n v="0.87"/>
    <n v="3359.07"/>
    <x v="247"/>
  </r>
  <r>
    <n v="250"/>
    <s v="2024-08-29"/>
    <x v="9"/>
    <n v="2024"/>
    <x v="3"/>
    <x v="0"/>
    <s v="Customer_67"/>
    <x v="14"/>
    <n v="3162"/>
    <n v="1.5"/>
    <n v="4743"/>
    <n v="1.08"/>
    <n v="3414.96"/>
    <x v="248"/>
  </r>
  <r>
    <n v="251"/>
    <s v="2024-07-11"/>
    <x v="6"/>
    <n v="2024"/>
    <x v="3"/>
    <x v="3"/>
    <s v="Customer_59"/>
    <x v="5"/>
    <n v="3304"/>
    <n v="1.18"/>
    <n v="3898.72"/>
    <n v="0.91"/>
    <n v="3006.64"/>
    <x v="249"/>
  </r>
  <r>
    <n v="252"/>
    <s v="2024-12-14"/>
    <x v="1"/>
    <n v="2024"/>
    <x v="1"/>
    <x v="3"/>
    <s v="Customer_25"/>
    <x v="6"/>
    <n v="2785"/>
    <n v="1.19"/>
    <n v="3314.15"/>
    <n v="0.78"/>
    <n v="2172.3000000000002"/>
    <x v="250"/>
  </r>
  <r>
    <n v="253"/>
    <s v="2024-06-01"/>
    <x v="8"/>
    <n v="2024"/>
    <x v="3"/>
    <x v="3"/>
    <s v="Customer_89"/>
    <x v="12"/>
    <n v="3097"/>
    <n v="1.1399999999999999"/>
    <n v="3530.58"/>
    <n v="0.84"/>
    <n v="2601.48"/>
    <x v="251"/>
  </r>
  <r>
    <n v="254"/>
    <s v="2024-05-20"/>
    <x v="7"/>
    <n v="2024"/>
    <x v="0"/>
    <x v="3"/>
    <s v="Customer_74"/>
    <x v="5"/>
    <n v="3610"/>
    <n v="1.43"/>
    <n v="5162.3"/>
    <n v="1"/>
    <n v="3610"/>
    <x v="252"/>
  </r>
  <r>
    <n v="255"/>
    <s v="2024-06-25"/>
    <x v="8"/>
    <n v="2024"/>
    <x v="2"/>
    <x v="1"/>
    <s v="Customer_6"/>
    <x v="11"/>
    <n v="1147"/>
    <n v="1.04"/>
    <n v="1192.8800000000001"/>
    <n v="0.74"/>
    <n v="848.78"/>
    <x v="253"/>
  </r>
  <r>
    <n v="256"/>
    <s v="2024-05-11"/>
    <x v="7"/>
    <n v="2024"/>
    <x v="3"/>
    <x v="2"/>
    <s v="Customer_26"/>
    <x v="5"/>
    <n v="2721"/>
    <n v="1.45"/>
    <n v="3945.45"/>
    <n v="1.1200000000000001"/>
    <n v="3047.52"/>
    <x v="254"/>
  </r>
  <r>
    <n v="257"/>
    <s v="2024-03-11"/>
    <x v="3"/>
    <n v="2024"/>
    <x v="3"/>
    <x v="0"/>
    <s v="Customer_32"/>
    <x v="7"/>
    <n v="4850"/>
    <n v="0.96"/>
    <n v="4656"/>
    <n v="0.63"/>
    <n v="3055.5"/>
    <x v="255"/>
  </r>
  <r>
    <n v="258"/>
    <s v="2024-02-21"/>
    <x v="4"/>
    <n v="2024"/>
    <x v="2"/>
    <x v="2"/>
    <s v="Customer_92"/>
    <x v="12"/>
    <n v="1323"/>
    <n v="1.28"/>
    <n v="1693.44"/>
    <n v="0.81"/>
    <n v="1071.6300000000001"/>
    <x v="256"/>
  </r>
  <r>
    <n v="259"/>
    <s v="2024-10-08"/>
    <x v="5"/>
    <n v="2024"/>
    <x v="1"/>
    <x v="1"/>
    <s v="Customer_84"/>
    <x v="12"/>
    <n v="4411"/>
    <n v="1.26"/>
    <n v="5557.86"/>
    <n v="0.99"/>
    <n v="4366.8900000000003"/>
    <x v="257"/>
  </r>
  <r>
    <n v="260"/>
    <s v="2024-05-27"/>
    <x v="7"/>
    <n v="2024"/>
    <x v="2"/>
    <x v="3"/>
    <s v="Customer_83"/>
    <x v="7"/>
    <n v="1232"/>
    <n v="1.26"/>
    <n v="1552.32"/>
    <n v="0.83"/>
    <n v="1022.56"/>
    <x v="258"/>
  </r>
  <r>
    <n v="261"/>
    <s v="2024-01-20"/>
    <x v="2"/>
    <n v="2024"/>
    <x v="1"/>
    <x v="1"/>
    <s v="Customer_23"/>
    <x v="7"/>
    <n v="3752"/>
    <n v="1.35"/>
    <n v="5065.2"/>
    <n v="0.87"/>
    <n v="3264.24"/>
    <x v="259"/>
  </r>
  <r>
    <n v="262"/>
    <s v="2024-05-28"/>
    <x v="7"/>
    <n v="2024"/>
    <x v="0"/>
    <x v="0"/>
    <s v="Customer_39"/>
    <x v="8"/>
    <n v="1379"/>
    <n v="1.45"/>
    <n v="1999.55"/>
    <n v="0.99"/>
    <n v="1365.21"/>
    <x v="260"/>
  </r>
  <r>
    <n v="263"/>
    <s v="2024-08-20"/>
    <x v="9"/>
    <n v="2024"/>
    <x v="3"/>
    <x v="2"/>
    <s v="Customer_65"/>
    <x v="2"/>
    <n v="2735"/>
    <n v="0.93"/>
    <n v="2543.5500000000002"/>
    <n v="0.57999999999999996"/>
    <n v="1586.3"/>
    <x v="261"/>
  </r>
  <r>
    <n v="264"/>
    <s v="2024-03-24"/>
    <x v="3"/>
    <n v="2024"/>
    <x v="2"/>
    <x v="2"/>
    <s v="Customer_92"/>
    <x v="9"/>
    <n v="615"/>
    <n v="1.32"/>
    <n v="811.8"/>
    <n v="1.05"/>
    <n v="645.75"/>
    <x v="262"/>
  </r>
  <r>
    <n v="265"/>
    <s v="2024-10-17"/>
    <x v="5"/>
    <n v="2024"/>
    <x v="3"/>
    <x v="1"/>
    <s v="Customer_79"/>
    <x v="13"/>
    <n v="4003"/>
    <n v="1.1599999999999999"/>
    <n v="4643.4799999999996"/>
    <n v="0.72"/>
    <n v="2882.16"/>
    <x v="263"/>
  </r>
  <r>
    <n v="266"/>
    <s v="2024-12-08"/>
    <x v="1"/>
    <n v="2024"/>
    <x v="3"/>
    <x v="0"/>
    <s v="Customer_18"/>
    <x v="12"/>
    <n v="3150"/>
    <n v="1.46"/>
    <n v="4599"/>
    <n v="0.88"/>
    <n v="2772"/>
    <x v="264"/>
  </r>
  <r>
    <n v="267"/>
    <s v="2024-07-15"/>
    <x v="6"/>
    <n v="2024"/>
    <x v="1"/>
    <x v="1"/>
    <s v="Customer_97"/>
    <x v="0"/>
    <n v="3200"/>
    <n v="1.01"/>
    <n v="3232"/>
    <n v="0.79"/>
    <n v="2528"/>
    <x v="265"/>
  </r>
  <r>
    <n v="268"/>
    <s v="2024-01-06"/>
    <x v="2"/>
    <n v="2024"/>
    <x v="2"/>
    <x v="3"/>
    <s v="Customer_89"/>
    <x v="6"/>
    <n v="1008"/>
    <n v="1.27"/>
    <n v="1280.1600000000001"/>
    <n v="0.91"/>
    <n v="917.28"/>
    <x v="266"/>
  </r>
  <r>
    <n v="269"/>
    <s v="2024-03-22"/>
    <x v="3"/>
    <n v="2024"/>
    <x v="2"/>
    <x v="2"/>
    <s v="Customer_89"/>
    <x v="17"/>
    <n v="2916"/>
    <n v="1.06"/>
    <n v="3090.96"/>
    <n v="0.69"/>
    <n v="2012.04"/>
    <x v="267"/>
  </r>
  <r>
    <n v="270"/>
    <s v="2024-03-09"/>
    <x v="3"/>
    <n v="2024"/>
    <x v="3"/>
    <x v="2"/>
    <s v="Customer_59"/>
    <x v="18"/>
    <n v="3560"/>
    <n v="1.0900000000000001"/>
    <n v="3880.4"/>
    <n v="0.8"/>
    <n v="2848"/>
    <x v="268"/>
  </r>
  <r>
    <n v="271"/>
    <s v="2024-08-29"/>
    <x v="9"/>
    <n v="2024"/>
    <x v="3"/>
    <x v="1"/>
    <s v="Customer_88"/>
    <x v="18"/>
    <n v="1170"/>
    <n v="1.17"/>
    <n v="1368.9"/>
    <n v="0.86"/>
    <n v="1006.2"/>
    <x v="269"/>
  </r>
  <r>
    <n v="272"/>
    <s v="2024-07-04"/>
    <x v="6"/>
    <n v="2024"/>
    <x v="0"/>
    <x v="0"/>
    <s v="Customer_8"/>
    <x v="5"/>
    <n v="4640"/>
    <n v="0.94"/>
    <n v="4361.6000000000004"/>
    <n v="0.69"/>
    <n v="3201.6"/>
    <x v="270"/>
  </r>
  <r>
    <n v="273"/>
    <s v="2024-03-25"/>
    <x v="3"/>
    <n v="2024"/>
    <x v="1"/>
    <x v="3"/>
    <s v="Customer_15"/>
    <x v="14"/>
    <n v="4504"/>
    <n v="0.86"/>
    <n v="3873.44"/>
    <n v="0.63"/>
    <n v="2837.52"/>
    <x v="271"/>
  </r>
  <r>
    <n v="274"/>
    <s v="2024-01-29"/>
    <x v="2"/>
    <n v="2024"/>
    <x v="3"/>
    <x v="2"/>
    <s v="Customer_66"/>
    <x v="10"/>
    <n v="4242"/>
    <n v="1.19"/>
    <n v="5047.9799999999996"/>
    <n v="0.88"/>
    <n v="3732.96"/>
    <x v="272"/>
  </r>
  <r>
    <n v="275"/>
    <s v="2024-12-10"/>
    <x v="1"/>
    <n v="2024"/>
    <x v="0"/>
    <x v="3"/>
    <s v="Customer_51"/>
    <x v="0"/>
    <n v="524"/>
    <n v="1.32"/>
    <n v="691.68"/>
    <n v="0.98"/>
    <n v="513.52"/>
    <x v="273"/>
  </r>
  <r>
    <n v="276"/>
    <s v="2024-01-24"/>
    <x v="2"/>
    <n v="2024"/>
    <x v="2"/>
    <x v="2"/>
    <s v="Customer_90"/>
    <x v="15"/>
    <n v="4933"/>
    <n v="1.5"/>
    <n v="7399.5"/>
    <n v="1.25"/>
    <n v="6166.25"/>
    <x v="274"/>
  </r>
  <r>
    <n v="277"/>
    <s v="2024-02-05"/>
    <x v="4"/>
    <n v="2024"/>
    <x v="0"/>
    <x v="2"/>
    <s v="Customer_37"/>
    <x v="10"/>
    <n v="1974"/>
    <n v="1.34"/>
    <n v="2645.16"/>
    <n v="1.06"/>
    <n v="2092.44"/>
    <x v="275"/>
  </r>
  <r>
    <n v="278"/>
    <s v="2024-11-26"/>
    <x v="0"/>
    <n v="2024"/>
    <x v="2"/>
    <x v="2"/>
    <s v="Customer_49"/>
    <x v="2"/>
    <n v="3592"/>
    <n v="1.06"/>
    <n v="3807.52"/>
    <n v="0.82"/>
    <n v="2945.44"/>
    <x v="276"/>
  </r>
  <r>
    <n v="279"/>
    <s v="2024-12-04"/>
    <x v="1"/>
    <n v="2024"/>
    <x v="2"/>
    <x v="1"/>
    <s v="Customer_16"/>
    <x v="9"/>
    <n v="4901"/>
    <n v="1.08"/>
    <n v="5293.08"/>
    <n v="0.68"/>
    <n v="3332.68"/>
    <x v="277"/>
  </r>
  <r>
    <n v="280"/>
    <s v="2024-04-24"/>
    <x v="10"/>
    <n v="2024"/>
    <x v="0"/>
    <x v="0"/>
    <s v="Customer_39"/>
    <x v="2"/>
    <n v="4960"/>
    <n v="1.1000000000000001"/>
    <n v="5456"/>
    <n v="0.76"/>
    <n v="3769.6"/>
    <x v="278"/>
  </r>
  <r>
    <n v="281"/>
    <s v="2024-04-27"/>
    <x v="10"/>
    <n v="2024"/>
    <x v="1"/>
    <x v="1"/>
    <s v="Customer_45"/>
    <x v="3"/>
    <n v="2758"/>
    <n v="0.93"/>
    <n v="2564.94"/>
    <n v="0.76"/>
    <n v="2096.08"/>
    <x v="279"/>
  </r>
  <r>
    <n v="282"/>
    <s v="2024-02-27"/>
    <x v="4"/>
    <n v="2024"/>
    <x v="1"/>
    <x v="0"/>
    <s v="Customer_79"/>
    <x v="1"/>
    <n v="2471"/>
    <n v="0.94"/>
    <n v="2322.7399999999998"/>
    <n v="0.59"/>
    <n v="1457.89"/>
    <x v="280"/>
  </r>
  <r>
    <n v="283"/>
    <s v="2024-01-18"/>
    <x v="2"/>
    <n v="2024"/>
    <x v="0"/>
    <x v="2"/>
    <s v="Customer_32"/>
    <x v="7"/>
    <n v="3795"/>
    <n v="1.1100000000000001"/>
    <n v="4212.45"/>
    <n v="0.82"/>
    <n v="3111.9"/>
    <x v="281"/>
  </r>
  <r>
    <n v="284"/>
    <s v="2024-01-29"/>
    <x v="2"/>
    <n v="2024"/>
    <x v="2"/>
    <x v="1"/>
    <s v="Customer_30"/>
    <x v="8"/>
    <n v="3112"/>
    <n v="1.2"/>
    <n v="3734.4"/>
    <n v="0.95"/>
    <n v="2956.4"/>
    <x v="282"/>
  </r>
  <r>
    <n v="285"/>
    <s v="2024-06-13"/>
    <x v="8"/>
    <n v="2024"/>
    <x v="2"/>
    <x v="1"/>
    <s v="Customer_19"/>
    <x v="19"/>
    <n v="2310"/>
    <n v="1.0900000000000001"/>
    <n v="2517.9"/>
    <n v="0.73"/>
    <n v="1686.3"/>
    <x v="283"/>
  </r>
  <r>
    <n v="286"/>
    <s v="2024-10-12"/>
    <x v="5"/>
    <n v="2024"/>
    <x v="1"/>
    <x v="1"/>
    <s v="Customer_72"/>
    <x v="12"/>
    <n v="884"/>
    <n v="1.48"/>
    <n v="1308.32"/>
    <n v="1.24"/>
    <n v="1096.1600000000001"/>
    <x v="284"/>
  </r>
  <r>
    <n v="287"/>
    <s v="2024-12-09"/>
    <x v="1"/>
    <n v="2024"/>
    <x v="2"/>
    <x v="2"/>
    <s v="Customer_90"/>
    <x v="10"/>
    <n v="3844"/>
    <n v="0.9"/>
    <n v="3459.6"/>
    <n v="0.62"/>
    <n v="2383.2800000000002"/>
    <x v="285"/>
  </r>
  <r>
    <n v="288"/>
    <s v="2024-10-02"/>
    <x v="5"/>
    <n v="2024"/>
    <x v="3"/>
    <x v="2"/>
    <s v="Customer_29"/>
    <x v="11"/>
    <n v="1682"/>
    <n v="1.36"/>
    <n v="2287.52"/>
    <n v="1.1299999999999999"/>
    <n v="1900.66"/>
    <x v="286"/>
  </r>
  <r>
    <n v="289"/>
    <s v="2024-10-14"/>
    <x v="5"/>
    <n v="2024"/>
    <x v="1"/>
    <x v="2"/>
    <s v="Customer_72"/>
    <x v="19"/>
    <n v="1598"/>
    <n v="1.07"/>
    <n v="1709.86"/>
    <n v="0.71"/>
    <n v="1134.58"/>
    <x v="287"/>
  </r>
  <r>
    <n v="290"/>
    <s v="2024-06-18"/>
    <x v="8"/>
    <n v="2024"/>
    <x v="1"/>
    <x v="0"/>
    <s v="Customer_48"/>
    <x v="15"/>
    <n v="4887"/>
    <n v="1.31"/>
    <n v="6401.97"/>
    <n v="0.85"/>
    <n v="4153.95"/>
    <x v="288"/>
  </r>
  <r>
    <n v="291"/>
    <s v="2024-05-17"/>
    <x v="7"/>
    <n v="2024"/>
    <x v="0"/>
    <x v="2"/>
    <s v="Customer_10"/>
    <x v="14"/>
    <n v="2277"/>
    <n v="1.1399999999999999"/>
    <n v="2595.7800000000002"/>
    <n v="0.93"/>
    <n v="2117.61"/>
    <x v="289"/>
  </r>
  <r>
    <n v="292"/>
    <s v="2024-06-19"/>
    <x v="8"/>
    <n v="2024"/>
    <x v="0"/>
    <x v="3"/>
    <s v="Customer_28"/>
    <x v="14"/>
    <n v="1461"/>
    <n v="1.32"/>
    <n v="1928.52"/>
    <n v="1.04"/>
    <n v="1519.44"/>
    <x v="290"/>
  </r>
  <r>
    <n v="293"/>
    <s v="2024-05-04"/>
    <x v="7"/>
    <n v="2024"/>
    <x v="1"/>
    <x v="1"/>
    <s v="Customer_31"/>
    <x v="5"/>
    <n v="3134"/>
    <n v="1.34"/>
    <n v="4199.5600000000004"/>
    <n v="0.93"/>
    <n v="2914.62"/>
    <x v="291"/>
  </r>
  <r>
    <n v="294"/>
    <s v="2024-09-30"/>
    <x v="11"/>
    <n v="2024"/>
    <x v="2"/>
    <x v="3"/>
    <s v="Customer_34"/>
    <x v="4"/>
    <n v="4700"/>
    <n v="1.42"/>
    <n v="6674"/>
    <n v="1.02"/>
    <n v="4794"/>
    <x v="292"/>
  </r>
  <r>
    <n v="295"/>
    <s v="2024-08-28"/>
    <x v="9"/>
    <n v="2024"/>
    <x v="3"/>
    <x v="3"/>
    <s v="Customer_48"/>
    <x v="16"/>
    <n v="3890"/>
    <n v="0.83"/>
    <n v="3228.7"/>
    <n v="0.68"/>
    <n v="2645.2"/>
    <x v="293"/>
  </r>
  <r>
    <n v="296"/>
    <s v="2024-03-15"/>
    <x v="3"/>
    <n v="2024"/>
    <x v="2"/>
    <x v="0"/>
    <s v="Customer_71"/>
    <x v="8"/>
    <n v="3920"/>
    <n v="1.01"/>
    <n v="3959.2"/>
    <n v="0.66"/>
    <n v="2587.1999999999998"/>
    <x v="294"/>
  </r>
  <r>
    <n v="297"/>
    <s v="2024-04-27"/>
    <x v="10"/>
    <n v="2024"/>
    <x v="3"/>
    <x v="2"/>
    <s v="Customer_64"/>
    <x v="5"/>
    <n v="3265"/>
    <n v="0.98"/>
    <n v="3199.7"/>
    <n v="0.79"/>
    <n v="2579.35"/>
    <x v="295"/>
  </r>
  <r>
    <n v="298"/>
    <s v="2024-11-24"/>
    <x v="0"/>
    <n v="2024"/>
    <x v="1"/>
    <x v="2"/>
    <s v="Customer_22"/>
    <x v="4"/>
    <n v="1886"/>
    <n v="0.9"/>
    <n v="1697.4"/>
    <n v="0.66"/>
    <n v="1244.76"/>
    <x v="296"/>
  </r>
  <r>
    <n v="299"/>
    <s v="2024-04-04"/>
    <x v="10"/>
    <n v="2024"/>
    <x v="0"/>
    <x v="0"/>
    <s v="Customer_10"/>
    <x v="7"/>
    <n v="552"/>
    <n v="1.0900000000000001"/>
    <n v="601.67999999999995"/>
    <n v="0.88"/>
    <n v="485.76"/>
    <x v="297"/>
  </r>
  <r>
    <n v="300"/>
    <s v="2024-04-28"/>
    <x v="10"/>
    <n v="2024"/>
    <x v="3"/>
    <x v="0"/>
    <s v="Customer_2"/>
    <x v="14"/>
    <n v="4642"/>
    <n v="1.1200000000000001"/>
    <n v="5199.04"/>
    <n v="0.69"/>
    <n v="3202.98"/>
    <x v="298"/>
  </r>
  <r>
    <n v="301"/>
    <s v="2024-11-22"/>
    <x v="0"/>
    <n v="2024"/>
    <x v="1"/>
    <x v="2"/>
    <s v="Customer_3"/>
    <x v="1"/>
    <n v="4859"/>
    <n v="1.19"/>
    <n v="5782.21"/>
    <n v="0.72"/>
    <n v="3498.48"/>
    <x v="299"/>
  </r>
  <r>
    <n v="302"/>
    <s v="2024-09-28"/>
    <x v="11"/>
    <n v="2024"/>
    <x v="2"/>
    <x v="3"/>
    <s v="Customer_3"/>
    <x v="19"/>
    <n v="4027"/>
    <n v="1.36"/>
    <n v="5476.72"/>
    <n v="1.1299999999999999"/>
    <n v="4550.51"/>
    <x v="300"/>
  </r>
  <r>
    <n v="303"/>
    <s v="2024-02-24"/>
    <x v="4"/>
    <n v="2024"/>
    <x v="3"/>
    <x v="0"/>
    <s v="Customer_31"/>
    <x v="14"/>
    <n v="4812"/>
    <n v="0.98"/>
    <n v="4715.76"/>
    <n v="0.67"/>
    <n v="3224.04"/>
    <x v="301"/>
  </r>
  <r>
    <n v="304"/>
    <s v="2024-07-22"/>
    <x v="6"/>
    <n v="2024"/>
    <x v="2"/>
    <x v="0"/>
    <s v="Customer_52"/>
    <x v="2"/>
    <n v="2492"/>
    <n v="1.49"/>
    <n v="3713.08"/>
    <n v="0.98"/>
    <n v="2442.16"/>
    <x v="302"/>
  </r>
  <r>
    <n v="305"/>
    <s v="2024-12-16"/>
    <x v="1"/>
    <n v="2024"/>
    <x v="0"/>
    <x v="0"/>
    <s v="Customer_12"/>
    <x v="13"/>
    <n v="3606"/>
    <n v="1.06"/>
    <n v="3822.36"/>
    <n v="0.76"/>
    <n v="2740.56"/>
    <x v="303"/>
  </r>
  <r>
    <n v="306"/>
    <s v="2024-11-22"/>
    <x v="0"/>
    <n v="2024"/>
    <x v="3"/>
    <x v="0"/>
    <s v="Customer_11"/>
    <x v="12"/>
    <n v="4054"/>
    <n v="1.25"/>
    <n v="5067.5"/>
    <n v="0.85"/>
    <n v="3445.9"/>
    <x v="304"/>
  </r>
  <r>
    <n v="307"/>
    <s v="2024-02-18"/>
    <x v="4"/>
    <n v="2024"/>
    <x v="3"/>
    <x v="0"/>
    <s v="Customer_28"/>
    <x v="8"/>
    <n v="4395"/>
    <n v="0.99"/>
    <n v="4351.05"/>
    <n v="0.82"/>
    <n v="3603.9"/>
    <x v="305"/>
  </r>
  <r>
    <n v="308"/>
    <s v="2024-12-16"/>
    <x v="1"/>
    <n v="2024"/>
    <x v="0"/>
    <x v="3"/>
    <s v="Customer_23"/>
    <x v="16"/>
    <n v="628"/>
    <n v="1.47"/>
    <n v="923.16"/>
    <n v="1.1000000000000001"/>
    <n v="690.8"/>
    <x v="306"/>
  </r>
  <r>
    <n v="309"/>
    <s v="2024-12-30"/>
    <x v="1"/>
    <n v="2024"/>
    <x v="0"/>
    <x v="2"/>
    <s v="Customer_39"/>
    <x v="9"/>
    <n v="2469"/>
    <n v="1.2"/>
    <n v="2962.8"/>
    <n v="0.97"/>
    <n v="2394.9299999999998"/>
    <x v="307"/>
  </r>
  <r>
    <n v="310"/>
    <s v="2024-12-12"/>
    <x v="1"/>
    <n v="2024"/>
    <x v="1"/>
    <x v="3"/>
    <s v="Customer_97"/>
    <x v="3"/>
    <n v="1142"/>
    <n v="1.1499999999999999"/>
    <n v="1313.3"/>
    <n v="0.97"/>
    <n v="1107.74"/>
    <x v="308"/>
  </r>
  <r>
    <n v="311"/>
    <s v="2024-01-28"/>
    <x v="2"/>
    <n v="2024"/>
    <x v="1"/>
    <x v="0"/>
    <s v="Customer_30"/>
    <x v="15"/>
    <n v="3290"/>
    <n v="1.22"/>
    <n v="4013.8"/>
    <n v="0.92"/>
    <n v="3026.8"/>
    <x v="309"/>
  </r>
  <r>
    <n v="312"/>
    <s v="2024-10-31"/>
    <x v="5"/>
    <n v="2024"/>
    <x v="2"/>
    <x v="2"/>
    <s v="Customer_4"/>
    <x v="0"/>
    <n v="4190"/>
    <n v="1.1399999999999999"/>
    <n v="4776.6000000000004"/>
    <n v="0.79"/>
    <n v="3310.1"/>
    <x v="310"/>
  </r>
  <r>
    <n v="313"/>
    <s v="2024-07-11"/>
    <x v="6"/>
    <n v="2024"/>
    <x v="3"/>
    <x v="2"/>
    <s v="Customer_88"/>
    <x v="8"/>
    <n v="3613"/>
    <n v="0.86"/>
    <n v="3107.18"/>
    <n v="0.65"/>
    <n v="2348.4499999999998"/>
    <x v="311"/>
  </r>
  <r>
    <n v="314"/>
    <s v="2024-05-06"/>
    <x v="7"/>
    <n v="2024"/>
    <x v="0"/>
    <x v="0"/>
    <s v="Customer_35"/>
    <x v="3"/>
    <n v="3612"/>
    <n v="1.3"/>
    <n v="4695.6000000000004"/>
    <n v="0.99"/>
    <n v="3575.88"/>
    <x v="312"/>
  </r>
  <r>
    <n v="315"/>
    <s v="2024-07-18"/>
    <x v="6"/>
    <n v="2024"/>
    <x v="2"/>
    <x v="3"/>
    <s v="Customer_14"/>
    <x v="15"/>
    <n v="542"/>
    <n v="1.46"/>
    <n v="791.32"/>
    <n v="1.04"/>
    <n v="563.67999999999995"/>
    <x v="313"/>
  </r>
  <r>
    <n v="316"/>
    <s v="2024-05-18"/>
    <x v="7"/>
    <n v="2024"/>
    <x v="3"/>
    <x v="0"/>
    <s v="Customer_12"/>
    <x v="9"/>
    <n v="4030"/>
    <n v="1.1100000000000001"/>
    <n v="4473.3"/>
    <n v="0.82"/>
    <n v="3304.6"/>
    <x v="314"/>
  </r>
  <r>
    <n v="317"/>
    <s v="2024-07-27"/>
    <x v="6"/>
    <n v="2024"/>
    <x v="0"/>
    <x v="0"/>
    <s v="Customer_12"/>
    <x v="4"/>
    <n v="1262"/>
    <n v="1.22"/>
    <n v="1539.64"/>
    <n v="0.97"/>
    <n v="1224.1400000000001"/>
    <x v="315"/>
  </r>
  <r>
    <n v="318"/>
    <s v="2024-07-16"/>
    <x v="6"/>
    <n v="2024"/>
    <x v="2"/>
    <x v="0"/>
    <s v="Customer_53"/>
    <x v="13"/>
    <n v="1193"/>
    <n v="1.31"/>
    <n v="1562.83"/>
    <n v="0.97"/>
    <n v="1157.21"/>
    <x v="316"/>
  </r>
  <r>
    <n v="319"/>
    <s v="2024-05-04"/>
    <x v="7"/>
    <n v="2024"/>
    <x v="1"/>
    <x v="1"/>
    <s v="Customer_22"/>
    <x v="3"/>
    <n v="2702"/>
    <n v="1.01"/>
    <n v="2729.02"/>
    <n v="0.73"/>
    <n v="1972.46"/>
    <x v="317"/>
  </r>
  <r>
    <n v="320"/>
    <s v="2024-02-02"/>
    <x v="4"/>
    <n v="2024"/>
    <x v="1"/>
    <x v="1"/>
    <s v="Customer_36"/>
    <x v="10"/>
    <n v="2955"/>
    <n v="1.1399999999999999"/>
    <n v="3368.7"/>
    <n v="0.71"/>
    <n v="2098.0500000000002"/>
    <x v="318"/>
  </r>
  <r>
    <n v="321"/>
    <s v="2024-05-08"/>
    <x v="7"/>
    <n v="2024"/>
    <x v="1"/>
    <x v="1"/>
    <s v="Customer_77"/>
    <x v="18"/>
    <n v="2101"/>
    <n v="1.1200000000000001"/>
    <n v="2353.12"/>
    <n v="0.71"/>
    <n v="1491.71"/>
    <x v="319"/>
  </r>
  <r>
    <n v="322"/>
    <s v="2024-01-04"/>
    <x v="2"/>
    <n v="2024"/>
    <x v="2"/>
    <x v="2"/>
    <s v="Customer_80"/>
    <x v="13"/>
    <n v="3199"/>
    <n v="1.1100000000000001"/>
    <n v="3550.89"/>
    <n v="0.79"/>
    <n v="2527.21"/>
    <x v="320"/>
  </r>
  <r>
    <n v="323"/>
    <s v="2024-11-29"/>
    <x v="0"/>
    <n v="2024"/>
    <x v="2"/>
    <x v="1"/>
    <s v="Customer_42"/>
    <x v="18"/>
    <n v="2145"/>
    <n v="1.1399999999999999"/>
    <n v="2445.3000000000002"/>
    <n v="0.73"/>
    <n v="1565.85"/>
    <x v="321"/>
  </r>
  <r>
    <n v="324"/>
    <s v="2024-07-22"/>
    <x v="6"/>
    <n v="2024"/>
    <x v="2"/>
    <x v="3"/>
    <s v="Customer_95"/>
    <x v="12"/>
    <n v="2485"/>
    <n v="1.03"/>
    <n v="2559.5500000000002"/>
    <n v="0.69"/>
    <n v="1714.65"/>
    <x v="322"/>
  </r>
  <r>
    <n v="325"/>
    <s v="2024-07-20"/>
    <x v="6"/>
    <n v="2024"/>
    <x v="0"/>
    <x v="3"/>
    <s v="Customer_73"/>
    <x v="14"/>
    <n v="4969"/>
    <n v="0.93"/>
    <n v="4621.17"/>
    <n v="0.74"/>
    <n v="3677.06"/>
    <x v="323"/>
  </r>
  <r>
    <n v="326"/>
    <s v="2024-01-14"/>
    <x v="2"/>
    <n v="2024"/>
    <x v="3"/>
    <x v="2"/>
    <s v="Customer_57"/>
    <x v="11"/>
    <n v="1066"/>
    <n v="1.37"/>
    <n v="1460.42"/>
    <n v="1.0900000000000001"/>
    <n v="1161.94"/>
    <x v="324"/>
  </r>
  <r>
    <n v="327"/>
    <s v="2024-07-28"/>
    <x v="6"/>
    <n v="2024"/>
    <x v="3"/>
    <x v="2"/>
    <s v="Customer_82"/>
    <x v="11"/>
    <n v="2482"/>
    <n v="0.98"/>
    <n v="2432.36"/>
    <n v="0.63"/>
    <n v="1563.66"/>
    <x v="325"/>
  </r>
  <r>
    <n v="328"/>
    <s v="2024-08-04"/>
    <x v="9"/>
    <n v="2024"/>
    <x v="0"/>
    <x v="2"/>
    <s v="Customer_58"/>
    <x v="18"/>
    <n v="4425"/>
    <n v="1.21"/>
    <n v="5354.25"/>
    <n v="0.89"/>
    <n v="3938.25"/>
    <x v="326"/>
  </r>
  <r>
    <n v="329"/>
    <s v="2024-12-20"/>
    <x v="1"/>
    <n v="2024"/>
    <x v="0"/>
    <x v="2"/>
    <s v="Customer_47"/>
    <x v="5"/>
    <n v="1196"/>
    <n v="0.88"/>
    <n v="1052.48"/>
    <n v="0.57999999999999996"/>
    <n v="693.68"/>
    <x v="327"/>
  </r>
  <r>
    <n v="330"/>
    <s v="2024-12-06"/>
    <x v="1"/>
    <n v="2024"/>
    <x v="3"/>
    <x v="3"/>
    <s v="Customer_83"/>
    <x v="18"/>
    <n v="862"/>
    <n v="1.19"/>
    <n v="1025.78"/>
    <n v="0.91"/>
    <n v="784.42"/>
    <x v="328"/>
  </r>
  <r>
    <n v="331"/>
    <s v="2024-11-27"/>
    <x v="0"/>
    <n v="2024"/>
    <x v="2"/>
    <x v="2"/>
    <s v="Customer_56"/>
    <x v="17"/>
    <n v="586"/>
    <n v="0.87"/>
    <n v="509.82"/>
    <n v="0.56999999999999995"/>
    <n v="334.02"/>
    <x v="329"/>
  </r>
  <r>
    <n v="332"/>
    <s v="2024-09-22"/>
    <x v="11"/>
    <n v="2024"/>
    <x v="1"/>
    <x v="1"/>
    <s v="Customer_48"/>
    <x v="13"/>
    <n v="4293"/>
    <n v="1.34"/>
    <n v="5752.62"/>
    <n v="1"/>
    <n v="4293"/>
    <x v="330"/>
  </r>
  <r>
    <n v="333"/>
    <s v="2024-09-13"/>
    <x v="11"/>
    <n v="2024"/>
    <x v="2"/>
    <x v="1"/>
    <s v="Customer_4"/>
    <x v="12"/>
    <n v="1356"/>
    <n v="1.01"/>
    <n v="1369.56"/>
    <n v="0.84"/>
    <n v="1139.04"/>
    <x v="331"/>
  </r>
  <r>
    <n v="334"/>
    <s v="2024-02-13"/>
    <x v="4"/>
    <n v="2024"/>
    <x v="3"/>
    <x v="0"/>
    <s v="Customer_45"/>
    <x v="11"/>
    <n v="3310"/>
    <n v="1.1200000000000001"/>
    <n v="3707.2"/>
    <n v="0.73"/>
    <n v="2416.3000000000002"/>
    <x v="332"/>
  </r>
  <r>
    <n v="335"/>
    <s v="2024-09-04"/>
    <x v="11"/>
    <n v="2024"/>
    <x v="1"/>
    <x v="3"/>
    <s v="Customer_13"/>
    <x v="2"/>
    <n v="4206"/>
    <n v="1.02"/>
    <n v="4290.12"/>
    <n v="0.69"/>
    <n v="2902.14"/>
    <x v="333"/>
  </r>
  <r>
    <n v="336"/>
    <s v="2024-12-29"/>
    <x v="1"/>
    <n v="2024"/>
    <x v="0"/>
    <x v="0"/>
    <s v="Customer_44"/>
    <x v="17"/>
    <n v="1846"/>
    <n v="1.45"/>
    <n v="2676.7"/>
    <n v="1.1399999999999999"/>
    <n v="2104.44"/>
    <x v="334"/>
  </r>
  <r>
    <n v="337"/>
    <s v="2024-09-21"/>
    <x v="11"/>
    <n v="2024"/>
    <x v="3"/>
    <x v="1"/>
    <s v="Customer_43"/>
    <x v="5"/>
    <n v="3992"/>
    <n v="1.47"/>
    <n v="5868.24"/>
    <n v="0.97"/>
    <n v="3872.24"/>
    <x v="335"/>
  </r>
  <r>
    <n v="338"/>
    <s v="2024-07-26"/>
    <x v="6"/>
    <n v="2024"/>
    <x v="3"/>
    <x v="1"/>
    <s v="Customer_82"/>
    <x v="10"/>
    <n v="3740"/>
    <n v="0.82"/>
    <n v="3066.8"/>
    <n v="0.62"/>
    <n v="2318.8000000000002"/>
    <x v="336"/>
  </r>
  <r>
    <n v="339"/>
    <s v="2024-04-11"/>
    <x v="10"/>
    <n v="2024"/>
    <x v="1"/>
    <x v="2"/>
    <s v="Customer_50"/>
    <x v="1"/>
    <n v="2259"/>
    <n v="0.94"/>
    <n v="2123.46"/>
    <n v="0.74"/>
    <n v="1671.66"/>
    <x v="337"/>
  </r>
  <r>
    <n v="340"/>
    <s v="2024-02-02"/>
    <x v="4"/>
    <n v="2024"/>
    <x v="3"/>
    <x v="0"/>
    <s v="Customer_47"/>
    <x v="16"/>
    <n v="2114"/>
    <n v="1.1200000000000001"/>
    <n v="2367.6799999999998"/>
    <n v="0.75"/>
    <n v="1585.5"/>
    <x v="338"/>
  </r>
  <r>
    <n v="341"/>
    <s v="2024-09-07"/>
    <x v="11"/>
    <n v="2024"/>
    <x v="1"/>
    <x v="3"/>
    <s v="Customer_79"/>
    <x v="13"/>
    <n v="1435"/>
    <n v="1.04"/>
    <n v="1492.4"/>
    <n v="0.84"/>
    <n v="1205.4000000000001"/>
    <x v="339"/>
  </r>
  <r>
    <n v="342"/>
    <s v="2024-11-12"/>
    <x v="0"/>
    <n v="2024"/>
    <x v="2"/>
    <x v="1"/>
    <s v="Customer_79"/>
    <x v="8"/>
    <n v="1194"/>
    <n v="1.27"/>
    <n v="1516.38"/>
    <n v="0.86"/>
    <n v="1026.8399999999999"/>
    <x v="340"/>
  </r>
  <r>
    <n v="343"/>
    <s v="2024-05-02"/>
    <x v="7"/>
    <n v="2024"/>
    <x v="0"/>
    <x v="3"/>
    <s v="Customer_24"/>
    <x v="4"/>
    <n v="1658"/>
    <n v="1.1599999999999999"/>
    <n v="1923.28"/>
    <n v="0.82"/>
    <n v="1359.56"/>
    <x v="341"/>
  </r>
  <r>
    <n v="344"/>
    <s v="2024-03-11"/>
    <x v="3"/>
    <n v="2024"/>
    <x v="1"/>
    <x v="2"/>
    <s v="Customer_24"/>
    <x v="12"/>
    <n v="4902"/>
    <n v="1.29"/>
    <n v="6323.58"/>
    <n v="0.98"/>
    <n v="4803.96"/>
    <x v="342"/>
  </r>
  <r>
    <n v="345"/>
    <s v="2024-03-29"/>
    <x v="3"/>
    <n v="2024"/>
    <x v="1"/>
    <x v="1"/>
    <s v="Customer_37"/>
    <x v="3"/>
    <n v="2032"/>
    <n v="1.02"/>
    <n v="2072.64"/>
    <n v="0.73"/>
    <n v="1483.36"/>
    <x v="343"/>
  </r>
  <r>
    <n v="346"/>
    <s v="2024-01-28"/>
    <x v="2"/>
    <n v="2024"/>
    <x v="0"/>
    <x v="3"/>
    <s v="Customer_63"/>
    <x v="3"/>
    <n v="2098"/>
    <n v="1.37"/>
    <n v="2874.26"/>
    <n v="1.1499999999999999"/>
    <n v="2412.6999999999998"/>
    <x v="344"/>
  </r>
  <r>
    <n v="347"/>
    <s v="2024-09-15"/>
    <x v="11"/>
    <n v="2024"/>
    <x v="1"/>
    <x v="2"/>
    <s v="Customer_88"/>
    <x v="12"/>
    <n v="3904"/>
    <n v="1.3"/>
    <n v="5075.2"/>
    <n v="0.92"/>
    <n v="3591.68"/>
    <x v="345"/>
  </r>
  <r>
    <n v="348"/>
    <s v="2024-03-26"/>
    <x v="3"/>
    <n v="2024"/>
    <x v="0"/>
    <x v="0"/>
    <s v="Customer_98"/>
    <x v="6"/>
    <n v="2892"/>
    <n v="0.82"/>
    <n v="2371.44"/>
    <n v="0.54"/>
    <n v="1561.68"/>
    <x v="346"/>
  </r>
  <r>
    <n v="349"/>
    <s v="2024-05-27"/>
    <x v="7"/>
    <n v="2024"/>
    <x v="1"/>
    <x v="1"/>
    <s v="Customer_73"/>
    <x v="12"/>
    <n v="4684"/>
    <n v="0.88"/>
    <n v="4121.92"/>
    <n v="0.55000000000000004"/>
    <n v="2576.1999999999998"/>
    <x v="347"/>
  </r>
  <r>
    <n v="350"/>
    <s v="2024-10-05"/>
    <x v="5"/>
    <n v="2024"/>
    <x v="0"/>
    <x v="3"/>
    <s v="Customer_98"/>
    <x v="2"/>
    <n v="4975"/>
    <n v="0.95"/>
    <n v="4726.25"/>
    <n v="0.67"/>
    <n v="3333.25"/>
    <x v="348"/>
  </r>
  <r>
    <n v="351"/>
    <s v="2024-11-30"/>
    <x v="0"/>
    <n v="2024"/>
    <x v="2"/>
    <x v="1"/>
    <s v="Customer_5"/>
    <x v="2"/>
    <n v="2652"/>
    <n v="1.04"/>
    <n v="2758.08"/>
    <n v="0.84"/>
    <n v="2227.6799999999998"/>
    <x v="349"/>
  </r>
  <r>
    <n v="352"/>
    <s v="2024-08-12"/>
    <x v="9"/>
    <n v="2024"/>
    <x v="3"/>
    <x v="0"/>
    <s v="Customer_27"/>
    <x v="8"/>
    <n v="3372"/>
    <n v="1.4"/>
    <n v="4720.8"/>
    <n v="1.05"/>
    <n v="3540.6"/>
    <x v="350"/>
  </r>
  <r>
    <n v="353"/>
    <s v="2024-08-07"/>
    <x v="9"/>
    <n v="2024"/>
    <x v="3"/>
    <x v="1"/>
    <s v="Customer_27"/>
    <x v="14"/>
    <n v="986"/>
    <n v="1.2"/>
    <n v="1183.2"/>
    <n v="0.88"/>
    <n v="867.68"/>
    <x v="351"/>
  </r>
  <r>
    <n v="354"/>
    <s v="2024-11-01"/>
    <x v="0"/>
    <n v="2024"/>
    <x v="2"/>
    <x v="1"/>
    <s v="Customer_91"/>
    <x v="11"/>
    <n v="2870"/>
    <n v="1.2"/>
    <n v="3444"/>
    <n v="1.01"/>
    <n v="2898.7"/>
    <x v="352"/>
  </r>
  <r>
    <n v="355"/>
    <s v="2024-09-20"/>
    <x v="11"/>
    <n v="2024"/>
    <x v="3"/>
    <x v="0"/>
    <s v="Customer_97"/>
    <x v="10"/>
    <n v="985"/>
    <n v="1.49"/>
    <n v="1467.65"/>
    <n v="1.22"/>
    <n v="1201.7"/>
    <x v="353"/>
  </r>
  <r>
    <n v="356"/>
    <s v="2024-03-05"/>
    <x v="3"/>
    <n v="2024"/>
    <x v="3"/>
    <x v="1"/>
    <s v="Customer_19"/>
    <x v="16"/>
    <n v="2527"/>
    <n v="1.33"/>
    <n v="3360.91"/>
    <n v="1.02"/>
    <n v="2577.54"/>
    <x v="354"/>
  </r>
  <r>
    <n v="357"/>
    <s v="2024-09-07"/>
    <x v="11"/>
    <n v="2024"/>
    <x v="2"/>
    <x v="1"/>
    <s v="Customer_81"/>
    <x v="10"/>
    <n v="3573"/>
    <n v="1.1200000000000001"/>
    <n v="4001.76"/>
    <n v="0.85"/>
    <n v="3037.05"/>
    <x v="355"/>
  </r>
  <r>
    <n v="358"/>
    <s v="2024-02-17"/>
    <x v="4"/>
    <n v="2024"/>
    <x v="2"/>
    <x v="2"/>
    <s v="Customer_89"/>
    <x v="4"/>
    <n v="4224"/>
    <n v="1.47"/>
    <n v="6209.28"/>
    <n v="1"/>
    <n v="4224"/>
    <x v="356"/>
  </r>
  <r>
    <n v="359"/>
    <s v="2024-01-02"/>
    <x v="2"/>
    <n v="2024"/>
    <x v="1"/>
    <x v="0"/>
    <s v="Customer_82"/>
    <x v="4"/>
    <n v="1018"/>
    <n v="1.36"/>
    <n v="1384.48"/>
    <n v="0.95"/>
    <n v="967.1"/>
    <x v="357"/>
  </r>
  <r>
    <n v="360"/>
    <s v="2024-08-07"/>
    <x v="9"/>
    <n v="2024"/>
    <x v="1"/>
    <x v="1"/>
    <s v="Customer_35"/>
    <x v="16"/>
    <n v="2823"/>
    <n v="1.04"/>
    <n v="2935.92"/>
    <n v="0.77"/>
    <n v="2173.71"/>
    <x v="358"/>
  </r>
  <r>
    <n v="361"/>
    <s v="2024-10-16"/>
    <x v="5"/>
    <n v="2024"/>
    <x v="2"/>
    <x v="2"/>
    <s v="Customer_88"/>
    <x v="7"/>
    <n v="876"/>
    <n v="0.87"/>
    <n v="762.12"/>
    <n v="0.69"/>
    <n v="604.44000000000005"/>
    <x v="359"/>
  </r>
  <r>
    <n v="362"/>
    <s v="2024-08-23"/>
    <x v="9"/>
    <n v="2024"/>
    <x v="0"/>
    <x v="0"/>
    <s v="Customer_21"/>
    <x v="2"/>
    <n v="4239"/>
    <n v="0.8"/>
    <n v="3391.2"/>
    <n v="0.67"/>
    <n v="2840.13"/>
    <x v="360"/>
  </r>
  <r>
    <n v="363"/>
    <s v="2024-04-13"/>
    <x v="10"/>
    <n v="2024"/>
    <x v="2"/>
    <x v="1"/>
    <s v="Customer_21"/>
    <x v="0"/>
    <n v="1264"/>
    <n v="1.26"/>
    <n v="1592.64"/>
    <n v="0.83"/>
    <n v="1049.1199999999999"/>
    <x v="361"/>
  </r>
  <r>
    <n v="364"/>
    <s v="2024-07-09"/>
    <x v="6"/>
    <n v="2024"/>
    <x v="0"/>
    <x v="1"/>
    <s v="Customer_51"/>
    <x v="11"/>
    <n v="2418"/>
    <n v="1.1000000000000001"/>
    <n v="2659.8"/>
    <n v="0.69"/>
    <n v="1668.42"/>
    <x v="362"/>
  </r>
  <r>
    <n v="365"/>
    <s v="2024-02-18"/>
    <x v="4"/>
    <n v="2024"/>
    <x v="3"/>
    <x v="0"/>
    <s v="Customer_62"/>
    <x v="15"/>
    <n v="1587"/>
    <n v="1.22"/>
    <n v="1936.14"/>
    <n v="0.89"/>
    <n v="1412.43"/>
    <x v="363"/>
  </r>
  <r>
    <n v="366"/>
    <s v="2024-08-15"/>
    <x v="9"/>
    <n v="2024"/>
    <x v="0"/>
    <x v="0"/>
    <s v="Customer_90"/>
    <x v="16"/>
    <n v="1487"/>
    <n v="1.49"/>
    <n v="2215.63"/>
    <n v="1.05"/>
    <n v="1561.35"/>
    <x v="364"/>
  </r>
  <r>
    <n v="367"/>
    <s v="2024-03-08"/>
    <x v="3"/>
    <n v="2024"/>
    <x v="0"/>
    <x v="2"/>
    <s v="Customer_30"/>
    <x v="13"/>
    <n v="1231"/>
    <n v="1.31"/>
    <n v="1612.61"/>
    <n v="0.82"/>
    <n v="1009.42"/>
    <x v="365"/>
  </r>
  <r>
    <n v="368"/>
    <s v="2024-06-09"/>
    <x v="8"/>
    <n v="2024"/>
    <x v="2"/>
    <x v="3"/>
    <s v="Customer_18"/>
    <x v="13"/>
    <n v="1590"/>
    <n v="1.25"/>
    <n v="1987.5"/>
    <n v="0.96"/>
    <n v="1526.4"/>
    <x v="366"/>
  </r>
  <r>
    <n v="369"/>
    <s v="2024-02-05"/>
    <x v="4"/>
    <n v="2024"/>
    <x v="3"/>
    <x v="0"/>
    <s v="Customer_57"/>
    <x v="4"/>
    <n v="2245"/>
    <n v="1.24"/>
    <n v="2783.8"/>
    <n v="0.79"/>
    <n v="1773.55"/>
    <x v="367"/>
  </r>
  <r>
    <n v="370"/>
    <s v="2024-07-29"/>
    <x v="6"/>
    <n v="2024"/>
    <x v="3"/>
    <x v="2"/>
    <s v="Customer_12"/>
    <x v="17"/>
    <n v="1646"/>
    <n v="1.33"/>
    <n v="2189.1799999999998"/>
    <n v="0.99"/>
    <n v="1629.54"/>
    <x v="368"/>
  </r>
  <r>
    <n v="371"/>
    <s v="2024-07-15"/>
    <x v="6"/>
    <n v="2024"/>
    <x v="1"/>
    <x v="3"/>
    <s v="Customer_41"/>
    <x v="3"/>
    <n v="2529"/>
    <n v="0.99"/>
    <n v="2503.71"/>
    <n v="0.61"/>
    <n v="1542.69"/>
    <x v="369"/>
  </r>
  <r>
    <n v="372"/>
    <s v="2024-10-10"/>
    <x v="5"/>
    <n v="2024"/>
    <x v="0"/>
    <x v="3"/>
    <s v="Customer_85"/>
    <x v="11"/>
    <n v="2183"/>
    <n v="1.1599999999999999"/>
    <n v="2532.2800000000002"/>
    <n v="0.84"/>
    <n v="1833.72"/>
    <x v="370"/>
  </r>
  <r>
    <n v="373"/>
    <s v="2024-07-19"/>
    <x v="6"/>
    <n v="2024"/>
    <x v="0"/>
    <x v="3"/>
    <s v="Customer_31"/>
    <x v="12"/>
    <n v="3661"/>
    <n v="0.88"/>
    <n v="3221.68"/>
    <n v="0.64"/>
    <n v="2343.04"/>
    <x v="371"/>
  </r>
  <r>
    <n v="374"/>
    <s v="2024-10-31"/>
    <x v="5"/>
    <n v="2024"/>
    <x v="0"/>
    <x v="0"/>
    <s v="Customer_47"/>
    <x v="16"/>
    <n v="1581"/>
    <n v="1.07"/>
    <n v="1691.67"/>
    <n v="0.87"/>
    <n v="1375.47"/>
    <x v="372"/>
  </r>
  <r>
    <n v="375"/>
    <s v="2024-08-03"/>
    <x v="9"/>
    <n v="2024"/>
    <x v="3"/>
    <x v="3"/>
    <s v="Customer_98"/>
    <x v="12"/>
    <n v="1097"/>
    <n v="0.81"/>
    <n v="888.57"/>
    <n v="0.5"/>
    <n v="548.5"/>
    <x v="373"/>
  </r>
  <r>
    <n v="376"/>
    <s v="2024-05-14"/>
    <x v="7"/>
    <n v="2024"/>
    <x v="0"/>
    <x v="1"/>
    <s v="Customer_8"/>
    <x v="13"/>
    <n v="4650"/>
    <n v="1"/>
    <n v="4650"/>
    <n v="0.78"/>
    <n v="3627"/>
    <x v="374"/>
  </r>
  <r>
    <n v="377"/>
    <s v="2024-07-31"/>
    <x v="6"/>
    <n v="2024"/>
    <x v="1"/>
    <x v="2"/>
    <s v="Customer_11"/>
    <x v="5"/>
    <n v="4904"/>
    <n v="1.23"/>
    <n v="6031.92"/>
    <n v="0.82"/>
    <n v="4021.28"/>
    <x v="375"/>
  </r>
  <r>
    <n v="378"/>
    <s v="2024-06-07"/>
    <x v="8"/>
    <n v="2024"/>
    <x v="3"/>
    <x v="0"/>
    <s v="Customer_20"/>
    <x v="5"/>
    <n v="3176"/>
    <n v="1.07"/>
    <n v="3398.32"/>
    <n v="0.81"/>
    <n v="2572.56"/>
    <x v="376"/>
  </r>
  <r>
    <n v="379"/>
    <s v="2024-11-28"/>
    <x v="0"/>
    <n v="2024"/>
    <x v="2"/>
    <x v="0"/>
    <s v="Customer_90"/>
    <x v="10"/>
    <n v="2454"/>
    <n v="0.84"/>
    <n v="2061.36"/>
    <n v="0.52"/>
    <n v="1276.08"/>
    <x v="377"/>
  </r>
  <r>
    <n v="380"/>
    <s v="2024-08-10"/>
    <x v="9"/>
    <n v="2024"/>
    <x v="1"/>
    <x v="0"/>
    <s v="Customer_79"/>
    <x v="18"/>
    <n v="950"/>
    <n v="1.02"/>
    <n v="969"/>
    <n v="0.8"/>
    <n v="760"/>
    <x v="378"/>
  </r>
  <r>
    <n v="381"/>
    <s v="2024-03-30"/>
    <x v="3"/>
    <n v="2024"/>
    <x v="0"/>
    <x v="0"/>
    <s v="Customer_91"/>
    <x v="3"/>
    <n v="592"/>
    <n v="0.91"/>
    <n v="538.72"/>
    <n v="0.76"/>
    <n v="449.92"/>
    <x v="379"/>
  </r>
  <r>
    <n v="382"/>
    <s v="2024-09-24"/>
    <x v="11"/>
    <n v="2024"/>
    <x v="3"/>
    <x v="3"/>
    <s v="Customer_48"/>
    <x v="3"/>
    <n v="2701"/>
    <n v="1.31"/>
    <n v="3538.31"/>
    <n v="0.82"/>
    <n v="2214.8200000000002"/>
    <x v="380"/>
  </r>
  <r>
    <n v="383"/>
    <s v="2024-01-16"/>
    <x v="2"/>
    <n v="2024"/>
    <x v="1"/>
    <x v="3"/>
    <s v="Customer_35"/>
    <x v="19"/>
    <n v="1023"/>
    <n v="0.98"/>
    <n v="1002.54"/>
    <n v="0.83"/>
    <n v="849.09"/>
    <x v="381"/>
  </r>
  <r>
    <n v="384"/>
    <s v="2024-11-17"/>
    <x v="0"/>
    <n v="2024"/>
    <x v="1"/>
    <x v="0"/>
    <s v="Customer_59"/>
    <x v="19"/>
    <n v="3450"/>
    <n v="0.84"/>
    <n v="2898"/>
    <n v="0.68"/>
    <n v="2346"/>
    <x v="382"/>
  </r>
  <r>
    <n v="385"/>
    <s v="2024-03-26"/>
    <x v="3"/>
    <n v="2024"/>
    <x v="3"/>
    <x v="3"/>
    <s v="Customer_33"/>
    <x v="17"/>
    <n v="1444"/>
    <n v="0.96"/>
    <n v="1386.24"/>
    <n v="0.7"/>
    <n v="1010.8"/>
    <x v="383"/>
  </r>
  <r>
    <n v="386"/>
    <s v="2024-01-23"/>
    <x v="2"/>
    <n v="2024"/>
    <x v="3"/>
    <x v="0"/>
    <s v="Customer_6"/>
    <x v="12"/>
    <n v="3481"/>
    <n v="1.07"/>
    <n v="3724.67"/>
    <n v="0.68"/>
    <n v="2367.08"/>
    <x v="384"/>
  </r>
  <r>
    <n v="387"/>
    <s v="2024-01-19"/>
    <x v="2"/>
    <n v="2024"/>
    <x v="3"/>
    <x v="2"/>
    <s v="Customer_42"/>
    <x v="6"/>
    <n v="3909"/>
    <n v="1.44"/>
    <n v="5628.96"/>
    <n v="0.98"/>
    <n v="3830.82"/>
    <x v="385"/>
  </r>
  <r>
    <n v="388"/>
    <s v="2024-02-09"/>
    <x v="4"/>
    <n v="2024"/>
    <x v="0"/>
    <x v="3"/>
    <s v="Customer_65"/>
    <x v="7"/>
    <n v="1969"/>
    <n v="0.96"/>
    <n v="1890.24"/>
    <n v="0.7"/>
    <n v="1378.3"/>
    <x v="386"/>
  </r>
  <r>
    <n v="389"/>
    <s v="2024-01-24"/>
    <x v="2"/>
    <n v="2024"/>
    <x v="0"/>
    <x v="2"/>
    <s v="Customer_60"/>
    <x v="11"/>
    <n v="3045"/>
    <n v="1.03"/>
    <n v="3136.35"/>
    <n v="0.76"/>
    <n v="2314.1999999999998"/>
    <x v="387"/>
  </r>
  <r>
    <n v="390"/>
    <s v="2024-01-05"/>
    <x v="2"/>
    <n v="2024"/>
    <x v="3"/>
    <x v="3"/>
    <s v="Customer_38"/>
    <x v="8"/>
    <n v="2989"/>
    <n v="1.32"/>
    <n v="3945.48"/>
    <n v="0.87"/>
    <n v="2600.4299999999998"/>
    <x v="388"/>
  </r>
  <r>
    <n v="391"/>
    <s v="2024-07-07"/>
    <x v="6"/>
    <n v="2024"/>
    <x v="3"/>
    <x v="2"/>
    <s v="Customer_94"/>
    <x v="5"/>
    <n v="2508"/>
    <n v="0.91"/>
    <n v="2282.2800000000002"/>
    <n v="0.76"/>
    <n v="1906.08"/>
    <x v="389"/>
  </r>
  <r>
    <n v="392"/>
    <s v="2024-01-13"/>
    <x v="2"/>
    <n v="2024"/>
    <x v="2"/>
    <x v="1"/>
    <s v="Customer_82"/>
    <x v="1"/>
    <n v="3244"/>
    <n v="0.8"/>
    <n v="2595.1999999999998"/>
    <n v="0.61"/>
    <n v="1978.84"/>
    <x v="390"/>
  </r>
  <r>
    <n v="393"/>
    <s v="2024-06-06"/>
    <x v="8"/>
    <n v="2024"/>
    <x v="3"/>
    <x v="0"/>
    <s v="Customer_68"/>
    <x v="6"/>
    <n v="3939"/>
    <n v="1.1399999999999999"/>
    <n v="4490.46"/>
    <n v="0.7"/>
    <n v="2757.3"/>
    <x v="391"/>
  </r>
  <r>
    <n v="394"/>
    <s v="2024-03-13"/>
    <x v="3"/>
    <n v="2024"/>
    <x v="0"/>
    <x v="3"/>
    <s v="Customer_6"/>
    <x v="6"/>
    <n v="4757"/>
    <n v="1.0900000000000001"/>
    <n v="5185.13"/>
    <n v="0.9"/>
    <n v="4281.3"/>
    <x v="392"/>
  </r>
  <r>
    <n v="395"/>
    <s v="2024-08-22"/>
    <x v="9"/>
    <n v="2024"/>
    <x v="0"/>
    <x v="0"/>
    <s v="Customer_65"/>
    <x v="3"/>
    <n v="3730"/>
    <n v="0.85"/>
    <n v="3170.5"/>
    <n v="0.63"/>
    <n v="2349.9"/>
    <x v="393"/>
  </r>
  <r>
    <n v="396"/>
    <s v="2024-08-10"/>
    <x v="9"/>
    <n v="2024"/>
    <x v="3"/>
    <x v="1"/>
    <s v="Customer_38"/>
    <x v="0"/>
    <n v="3080"/>
    <n v="1.45"/>
    <n v="4466"/>
    <n v="1.01"/>
    <n v="3110.8"/>
    <x v="394"/>
  </r>
  <r>
    <n v="397"/>
    <s v="2024-06-16"/>
    <x v="8"/>
    <n v="2024"/>
    <x v="1"/>
    <x v="3"/>
    <s v="Customer_35"/>
    <x v="6"/>
    <n v="1111"/>
    <n v="1.46"/>
    <n v="1622.06"/>
    <n v="0.93"/>
    <n v="1033.23"/>
    <x v="395"/>
  </r>
  <r>
    <n v="398"/>
    <s v="2024-10-26"/>
    <x v="5"/>
    <n v="2024"/>
    <x v="3"/>
    <x v="0"/>
    <s v="Customer_14"/>
    <x v="9"/>
    <n v="4182"/>
    <n v="1.1299999999999999"/>
    <n v="4725.66"/>
    <n v="0.79"/>
    <n v="3303.78"/>
    <x v="396"/>
  </r>
  <r>
    <n v="399"/>
    <s v="2024-10-01"/>
    <x v="5"/>
    <n v="2024"/>
    <x v="3"/>
    <x v="3"/>
    <s v="Customer_58"/>
    <x v="11"/>
    <n v="4295"/>
    <n v="0.99"/>
    <n v="4252.05"/>
    <n v="0.62"/>
    <n v="2662.9"/>
    <x v="397"/>
  </r>
  <r>
    <n v="400"/>
    <s v="2024-03-21"/>
    <x v="3"/>
    <n v="2024"/>
    <x v="0"/>
    <x v="3"/>
    <s v="Customer_28"/>
    <x v="16"/>
    <n v="1715"/>
    <n v="0.86"/>
    <n v="1474.9"/>
    <n v="0.56999999999999995"/>
    <n v="977.55"/>
    <x v="398"/>
  </r>
  <r>
    <n v="401"/>
    <s v="2024-07-01"/>
    <x v="6"/>
    <n v="2024"/>
    <x v="0"/>
    <x v="2"/>
    <s v="Customer_87"/>
    <x v="11"/>
    <n v="2631"/>
    <n v="1.37"/>
    <n v="3604.47"/>
    <n v="0.88"/>
    <n v="2315.2800000000002"/>
    <x v="399"/>
  </r>
  <r>
    <n v="402"/>
    <s v="2024-07-26"/>
    <x v="6"/>
    <n v="2024"/>
    <x v="3"/>
    <x v="2"/>
    <s v="Customer_13"/>
    <x v="2"/>
    <n v="1334"/>
    <n v="1.36"/>
    <n v="1814.24"/>
    <n v="0.86"/>
    <n v="1147.24"/>
    <x v="400"/>
  </r>
  <r>
    <n v="403"/>
    <s v="2024-01-07"/>
    <x v="2"/>
    <n v="2024"/>
    <x v="3"/>
    <x v="0"/>
    <s v="Customer_17"/>
    <x v="14"/>
    <n v="3781"/>
    <n v="1.06"/>
    <n v="4007.86"/>
    <n v="0.8"/>
    <n v="3024.8"/>
    <x v="401"/>
  </r>
  <r>
    <n v="404"/>
    <s v="2024-11-26"/>
    <x v="0"/>
    <n v="2024"/>
    <x v="2"/>
    <x v="0"/>
    <s v="Customer_10"/>
    <x v="1"/>
    <n v="1028"/>
    <n v="0.94"/>
    <n v="966.32"/>
    <n v="0.72"/>
    <n v="740.16"/>
    <x v="402"/>
  </r>
  <r>
    <n v="405"/>
    <s v="2024-03-06"/>
    <x v="3"/>
    <n v="2024"/>
    <x v="2"/>
    <x v="0"/>
    <s v="Customer_16"/>
    <x v="7"/>
    <n v="4276"/>
    <n v="0.84"/>
    <n v="3591.84"/>
    <n v="0.7"/>
    <n v="2993.2"/>
    <x v="403"/>
  </r>
  <r>
    <n v="406"/>
    <s v="2024-08-09"/>
    <x v="9"/>
    <n v="2024"/>
    <x v="1"/>
    <x v="2"/>
    <s v="Customer_4"/>
    <x v="13"/>
    <n v="3995"/>
    <n v="0.92"/>
    <n v="3675.4"/>
    <n v="0.6"/>
    <n v="2397"/>
    <x v="404"/>
  </r>
  <r>
    <n v="407"/>
    <s v="2024-04-05"/>
    <x v="10"/>
    <n v="2024"/>
    <x v="2"/>
    <x v="3"/>
    <s v="Customer_58"/>
    <x v="3"/>
    <n v="783"/>
    <n v="1.23"/>
    <n v="963.09"/>
    <n v="0.93"/>
    <n v="728.19"/>
    <x v="405"/>
  </r>
  <r>
    <n v="408"/>
    <s v="2024-11-27"/>
    <x v="0"/>
    <n v="2024"/>
    <x v="1"/>
    <x v="3"/>
    <s v="Customer_53"/>
    <x v="5"/>
    <n v="4424"/>
    <n v="0.84"/>
    <n v="3716.16"/>
    <n v="0.56000000000000005"/>
    <n v="2477.44"/>
    <x v="406"/>
  </r>
  <r>
    <n v="409"/>
    <s v="2024-03-11"/>
    <x v="3"/>
    <n v="2024"/>
    <x v="3"/>
    <x v="2"/>
    <s v="Customer_83"/>
    <x v="19"/>
    <n v="2541"/>
    <n v="1.24"/>
    <n v="3150.84"/>
    <n v="0.99"/>
    <n v="2515.59"/>
    <x v="407"/>
  </r>
  <r>
    <n v="410"/>
    <s v="2024-01-10"/>
    <x v="2"/>
    <n v="2024"/>
    <x v="2"/>
    <x v="2"/>
    <s v="Customer_62"/>
    <x v="5"/>
    <n v="4470"/>
    <n v="1.04"/>
    <n v="4648.8"/>
    <n v="0.77"/>
    <n v="3441.9"/>
    <x v="408"/>
  </r>
  <r>
    <n v="411"/>
    <s v="2024-06-13"/>
    <x v="8"/>
    <n v="2024"/>
    <x v="2"/>
    <x v="2"/>
    <s v="Customer_24"/>
    <x v="1"/>
    <n v="3112"/>
    <n v="1.22"/>
    <n v="3796.64"/>
    <n v="0.74"/>
    <n v="2302.88"/>
    <x v="409"/>
  </r>
  <r>
    <n v="412"/>
    <s v="2024-05-23"/>
    <x v="7"/>
    <n v="2024"/>
    <x v="1"/>
    <x v="0"/>
    <s v="Customer_68"/>
    <x v="4"/>
    <n v="2406"/>
    <n v="1.48"/>
    <n v="3560.88"/>
    <n v="0.93"/>
    <n v="2237.58"/>
    <x v="410"/>
  </r>
  <r>
    <n v="413"/>
    <s v="2024-12-02"/>
    <x v="1"/>
    <n v="2024"/>
    <x v="2"/>
    <x v="1"/>
    <s v="Customer_69"/>
    <x v="7"/>
    <n v="2297"/>
    <n v="1.2"/>
    <n v="2756.4"/>
    <n v="1.01"/>
    <n v="2319.9699999999998"/>
    <x v="411"/>
  </r>
  <r>
    <n v="414"/>
    <s v="2024-07-17"/>
    <x v="6"/>
    <n v="2024"/>
    <x v="3"/>
    <x v="3"/>
    <s v="Customer_23"/>
    <x v="6"/>
    <n v="3105"/>
    <n v="1.36"/>
    <n v="4222.8"/>
    <n v="1.05"/>
    <n v="3260.25"/>
    <x v="412"/>
  </r>
  <r>
    <n v="415"/>
    <s v="2024-10-29"/>
    <x v="5"/>
    <n v="2024"/>
    <x v="2"/>
    <x v="0"/>
    <s v="Customer_73"/>
    <x v="8"/>
    <n v="1664"/>
    <n v="1.19"/>
    <n v="1980.16"/>
    <n v="0.77"/>
    <n v="1281.28"/>
    <x v="413"/>
  </r>
  <r>
    <n v="416"/>
    <s v="2024-09-09"/>
    <x v="11"/>
    <n v="2024"/>
    <x v="3"/>
    <x v="3"/>
    <s v="Customer_63"/>
    <x v="7"/>
    <n v="1239"/>
    <n v="0.84"/>
    <n v="1040.76"/>
    <n v="0.63"/>
    <n v="780.57"/>
    <x v="414"/>
  </r>
  <r>
    <n v="417"/>
    <s v="2024-01-11"/>
    <x v="2"/>
    <n v="2024"/>
    <x v="0"/>
    <x v="2"/>
    <s v="Customer_43"/>
    <x v="18"/>
    <n v="2150"/>
    <n v="1.36"/>
    <n v="2924"/>
    <n v="0.93"/>
    <n v="1999.5"/>
    <x v="415"/>
  </r>
  <r>
    <n v="418"/>
    <s v="2024-03-31"/>
    <x v="3"/>
    <n v="2024"/>
    <x v="0"/>
    <x v="3"/>
    <s v="Customer_3"/>
    <x v="3"/>
    <n v="1660"/>
    <n v="1.34"/>
    <n v="2224.4"/>
    <n v="1.0900000000000001"/>
    <n v="1809.4"/>
    <x v="416"/>
  </r>
  <r>
    <n v="419"/>
    <s v="2024-07-05"/>
    <x v="6"/>
    <n v="2024"/>
    <x v="2"/>
    <x v="0"/>
    <s v="Customer_91"/>
    <x v="13"/>
    <n v="1327"/>
    <n v="1.04"/>
    <n v="1380.08"/>
    <n v="0.71"/>
    <n v="942.17"/>
    <x v="417"/>
  </r>
  <r>
    <n v="420"/>
    <s v="2024-03-21"/>
    <x v="3"/>
    <n v="2024"/>
    <x v="1"/>
    <x v="2"/>
    <s v="Customer_84"/>
    <x v="16"/>
    <n v="1927"/>
    <n v="1.3"/>
    <n v="2505.1"/>
    <n v="0.96"/>
    <n v="1849.92"/>
    <x v="418"/>
  </r>
  <r>
    <n v="421"/>
    <s v="2024-11-10"/>
    <x v="0"/>
    <n v="2024"/>
    <x v="3"/>
    <x v="3"/>
    <s v="Customer_86"/>
    <x v="8"/>
    <n v="1936"/>
    <n v="1.06"/>
    <n v="2052.16"/>
    <n v="0.83"/>
    <n v="1606.88"/>
    <x v="419"/>
  </r>
  <r>
    <n v="422"/>
    <s v="2024-05-30"/>
    <x v="7"/>
    <n v="2024"/>
    <x v="3"/>
    <x v="1"/>
    <s v="Customer_94"/>
    <x v="1"/>
    <n v="3707"/>
    <n v="1.4"/>
    <n v="5189.8"/>
    <n v="1.1100000000000001"/>
    <n v="4114.7700000000004"/>
    <x v="420"/>
  </r>
  <r>
    <n v="423"/>
    <s v="2024-10-17"/>
    <x v="5"/>
    <n v="2024"/>
    <x v="3"/>
    <x v="0"/>
    <s v="Customer_78"/>
    <x v="16"/>
    <n v="2309"/>
    <n v="1.25"/>
    <n v="2886.25"/>
    <n v="0.78"/>
    <n v="1801.02"/>
    <x v="421"/>
  </r>
  <r>
    <n v="424"/>
    <s v="2024-09-11"/>
    <x v="11"/>
    <n v="2024"/>
    <x v="2"/>
    <x v="1"/>
    <s v="Customer_96"/>
    <x v="15"/>
    <n v="2449"/>
    <n v="1.04"/>
    <n v="2546.96"/>
    <n v="0.71"/>
    <n v="1738.79"/>
    <x v="422"/>
  </r>
  <r>
    <n v="425"/>
    <s v="2024-11-21"/>
    <x v="0"/>
    <n v="2024"/>
    <x v="2"/>
    <x v="0"/>
    <s v="Customer_58"/>
    <x v="1"/>
    <n v="2672"/>
    <n v="0.95"/>
    <n v="2538.4"/>
    <n v="0.73"/>
    <n v="1950.56"/>
    <x v="423"/>
  </r>
  <r>
    <n v="426"/>
    <s v="2024-06-28"/>
    <x v="8"/>
    <n v="2024"/>
    <x v="0"/>
    <x v="3"/>
    <s v="Customer_93"/>
    <x v="1"/>
    <n v="894"/>
    <n v="1.07"/>
    <n v="956.58"/>
    <n v="0.84"/>
    <n v="750.96"/>
    <x v="424"/>
  </r>
  <r>
    <n v="427"/>
    <s v="2024-03-26"/>
    <x v="3"/>
    <n v="2024"/>
    <x v="1"/>
    <x v="2"/>
    <s v="Customer_49"/>
    <x v="4"/>
    <n v="4973"/>
    <n v="1.06"/>
    <n v="5271.38"/>
    <n v="0.86"/>
    <n v="4276.78"/>
    <x v="425"/>
  </r>
  <r>
    <n v="428"/>
    <s v="2024-10-22"/>
    <x v="5"/>
    <n v="2024"/>
    <x v="3"/>
    <x v="1"/>
    <s v="Customer_58"/>
    <x v="15"/>
    <n v="773"/>
    <n v="1.01"/>
    <n v="780.73"/>
    <n v="0.69"/>
    <n v="533.37"/>
    <x v="426"/>
  </r>
  <r>
    <n v="429"/>
    <s v="2024-02-23"/>
    <x v="4"/>
    <n v="2024"/>
    <x v="2"/>
    <x v="0"/>
    <s v="Customer_22"/>
    <x v="13"/>
    <n v="1818"/>
    <n v="1.31"/>
    <n v="2381.58"/>
    <n v="0.97"/>
    <n v="1763.46"/>
    <x v="427"/>
  </r>
  <r>
    <n v="430"/>
    <s v="2024-02-17"/>
    <x v="4"/>
    <n v="2024"/>
    <x v="1"/>
    <x v="3"/>
    <s v="Customer_91"/>
    <x v="1"/>
    <n v="4033"/>
    <n v="1.46"/>
    <n v="5888.18"/>
    <n v="0.94"/>
    <n v="3791.02"/>
    <x v="428"/>
  </r>
  <r>
    <n v="431"/>
    <s v="2024-08-10"/>
    <x v="9"/>
    <n v="2024"/>
    <x v="0"/>
    <x v="1"/>
    <s v="Customer_13"/>
    <x v="16"/>
    <n v="2183"/>
    <n v="1.48"/>
    <n v="3230.84"/>
    <n v="1.04"/>
    <n v="2270.3200000000002"/>
    <x v="429"/>
  </r>
  <r>
    <n v="432"/>
    <s v="2024-10-10"/>
    <x v="5"/>
    <n v="2024"/>
    <x v="2"/>
    <x v="3"/>
    <s v="Customer_39"/>
    <x v="6"/>
    <n v="1285"/>
    <n v="0.83"/>
    <n v="1066.55"/>
    <n v="0.62"/>
    <n v="796.7"/>
    <x v="430"/>
  </r>
  <r>
    <n v="433"/>
    <s v="2024-09-08"/>
    <x v="11"/>
    <n v="2024"/>
    <x v="0"/>
    <x v="1"/>
    <s v="Customer_47"/>
    <x v="1"/>
    <n v="4002"/>
    <n v="0.86"/>
    <n v="3441.72"/>
    <n v="0.69"/>
    <n v="2761.38"/>
    <x v="431"/>
  </r>
  <r>
    <n v="434"/>
    <s v="2024-11-16"/>
    <x v="0"/>
    <n v="2024"/>
    <x v="3"/>
    <x v="2"/>
    <s v="Customer_13"/>
    <x v="1"/>
    <n v="2195"/>
    <n v="0.92"/>
    <n v="2019.4"/>
    <n v="0.62"/>
    <n v="1360.9"/>
    <x v="432"/>
  </r>
  <r>
    <n v="435"/>
    <s v="2024-02-11"/>
    <x v="4"/>
    <n v="2024"/>
    <x v="0"/>
    <x v="2"/>
    <s v="Customer_40"/>
    <x v="13"/>
    <n v="4357"/>
    <n v="1.1399999999999999"/>
    <n v="4966.9799999999996"/>
    <n v="0.87"/>
    <n v="3790.59"/>
    <x v="433"/>
  </r>
  <r>
    <n v="436"/>
    <s v="2024-02-16"/>
    <x v="4"/>
    <n v="2024"/>
    <x v="3"/>
    <x v="2"/>
    <s v="Customer_48"/>
    <x v="13"/>
    <n v="3526"/>
    <n v="0.93"/>
    <n v="3279.18"/>
    <n v="0.56999999999999995"/>
    <n v="2009.82"/>
    <x v="434"/>
  </r>
  <r>
    <n v="437"/>
    <s v="2024-08-13"/>
    <x v="9"/>
    <n v="2024"/>
    <x v="2"/>
    <x v="2"/>
    <s v="Customer_29"/>
    <x v="0"/>
    <n v="1004"/>
    <n v="0.91"/>
    <n v="913.64"/>
    <n v="0.7"/>
    <n v="702.8"/>
    <x v="435"/>
  </r>
  <r>
    <n v="438"/>
    <s v="2024-02-19"/>
    <x v="4"/>
    <n v="2024"/>
    <x v="2"/>
    <x v="0"/>
    <s v="Customer_70"/>
    <x v="10"/>
    <n v="2363"/>
    <n v="1.19"/>
    <n v="2811.97"/>
    <n v="0.96"/>
    <n v="2268.48"/>
    <x v="436"/>
  </r>
  <r>
    <n v="439"/>
    <s v="2024-09-24"/>
    <x v="11"/>
    <n v="2024"/>
    <x v="1"/>
    <x v="2"/>
    <s v="Customer_74"/>
    <x v="6"/>
    <n v="4401"/>
    <n v="1.01"/>
    <n v="4445.01"/>
    <n v="0.71"/>
    <n v="3124.71"/>
    <x v="437"/>
  </r>
  <r>
    <n v="440"/>
    <s v="2024-12-31"/>
    <x v="1"/>
    <n v="2024"/>
    <x v="3"/>
    <x v="0"/>
    <s v="Customer_16"/>
    <x v="2"/>
    <n v="1916"/>
    <n v="1.46"/>
    <n v="2797.36"/>
    <n v="0.94"/>
    <n v="1801.04"/>
    <x v="438"/>
  </r>
  <r>
    <n v="441"/>
    <s v="2024-04-18"/>
    <x v="10"/>
    <n v="2024"/>
    <x v="3"/>
    <x v="1"/>
    <s v="Customer_6"/>
    <x v="10"/>
    <n v="1141"/>
    <n v="1.49"/>
    <n v="1700.09"/>
    <n v="1.06"/>
    <n v="1209.46"/>
    <x v="439"/>
  </r>
  <r>
    <n v="442"/>
    <s v="2024-11-17"/>
    <x v="0"/>
    <n v="2024"/>
    <x v="2"/>
    <x v="1"/>
    <s v="Customer_41"/>
    <x v="15"/>
    <n v="1212"/>
    <n v="1.07"/>
    <n v="1296.8399999999999"/>
    <n v="0.75"/>
    <n v="909"/>
    <x v="440"/>
  </r>
  <r>
    <n v="443"/>
    <s v="2024-06-15"/>
    <x v="8"/>
    <n v="2024"/>
    <x v="1"/>
    <x v="3"/>
    <s v="Customer_2"/>
    <x v="18"/>
    <n v="4780"/>
    <n v="1.35"/>
    <n v="6453"/>
    <n v="0.85"/>
    <n v="4063"/>
    <x v="441"/>
  </r>
  <r>
    <n v="444"/>
    <s v="2024-03-17"/>
    <x v="3"/>
    <n v="2024"/>
    <x v="0"/>
    <x v="1"/>
    <s v="Customer_14"/>
    <x v="8"/>
    <n v="1327"/>
    <n v="1.35"/>
    <n v="1791.45"/>
    <n v="1.1000000000000001"/>
    <n v="1459.7"/>
    <x v="442"/>
  </r>
  <r>
    <n v="445"/>
    <s v="2024-06-25"/>
    <x v="8"/>
    <n v="2024"/>
    <x v="2"/>
    <x v="2"/>
    <s v="Customer_50"/>
    <x v="12"/>
    <n v="4375"/>
    <n v="0.83"/>
    <n v="3631.25"/>
    <n v="0.56000000000000005"/>
    <n v="2450"/>
    <x v="443"/>
  </r>
  <r>
    <n v="446"/>
    <s v="2024-03-14"/>
    <x v="3"/>
    <n v="2024"/>
    <x v="0"/>
    <x v="2"/>
    <s v="Customer_51"/>
    <x v="16"/>
    <n v="2446"/>
    <n v="0.83"/>
    <n v="2030.18"/>
    <n v="0.6"/>
    <n v="1467.6"/>
    <x v="444"/>
  </r>
  <r>
    <n v="447"/>
    <s v="2024-05-17"/>
    <x v="7"/>
    <n v="2024"/>
    <x v="0"/>
    <x v="3"/>
    <s v="Customer_44"/>
    <x v="11"/>
    <n v="3047"/>
    <n v="1"/>
    <n v="3047"/>
    <n v="0.72"/>
    <n v="2193.84"/>
    <x v="445"/>
  </r>
  <r>
    <n v="448"/>
    <s v="2024-12-22"/>
    <x v="1"/>
    <n v="2024"/>
    <x v="3"/>
    <x v="0"/>
    <s v="Customer_18"/>
    <x v="11"/>
    <n v="4129"/>
    <n v="1.34"/>
    <n v="5532.86"/>
    <n v="0.91"/>
    <n v="3757.39"/>
    <x v="446"/>
  </r>
  <r>
    <n v="449"/>
    <s v="2024-08-01"/>
    <x v="9"/>
    <n v="2024"/>
    <x v="3"/>
    <x v="0"/>
    <s v="Customer_57"/>
    <x v="14"/>
    <n v="3835"/>
    <n v="1.32"/>
    <n v="5062.2"/>
    <n v="1.04"/>
    <n v="3988.4"/>
    <x v="447"/>
  </r>
  <r>
    <n v="450"/>
    <s v="2024-07-10"/>
    <x v="6"/>
    <n v="2024"/>
    <x v="3"/>
    <x v="0"/>
    <s v="Customer_9"/>
    <x v="11"/>
    <n v="4651"/>
    <n v="1.08"/>
    <n v="5023.08"/>
    <n v="0.86"/>
    <n v="3999.86"/>
    <x v="448"/>
  </r>
  <r>
    <n v="451"/>
    <s v="2024-09-25"/>
    <x v="11"/>
    <n v="2024"/>
    <x v="3"/>
    <x v="0"/>
    <s v="Customer_25"/>
    <x v="14"/>
    <n v="972"/>
    <n v="0.97"/>
    <n v="942.84"/>
    <n v="0.69"/>
    <n v="670.68"/>
    <x v="449"/>
  </r>
  <r>
    <n v="452"/>
    <s v="2024-07-03"/>
    <x v="6"/>
    <n v="2024"/>
    <x v="2"/>
    <x v="1"/>
    <s v="Customer_48"/>
    <x v="2"/>
    <n v="4637"/>
    <n v="1.08"/>
    <n v="5007.96"/>
    <n v="0.9"/>
    <n v="4173.3"/>
    <x v="450"/>
  </r>
  <r>
    <n v="453"/>
    <s v="2024-12-14"/>
    <x v="1"/>
    <n v="2024"/>
    <x v="3"/>
    <x v="0"/>
    <s v="Customer_48"/>
    <x v="12"/>
    <n v="4154"/>
    <n v="0.92"/>
    <n v="3821.68"/>
    <n v="0.75"/>
    <n v="3115.5"/>
    <x v="451"/>
  </r>
  <r>
    <n v="454"/>
    <s v="2024-10-27"/>
    <x v="5"/>
    <n v="2024"/>
    <x v="2"/>
    <x v="3"/>
    <s v="Customer_21"/>
    <x v="0"/>
    <n v="1240"/>
    <n v="1"/>
    <n v="1240"/>
    <n v="0.7"/>
    <n v="868"/>
    <x v="452"/>
  </r>
  <r>
    <n v="455"/>
    <s v="2024-03-24"/>
    <x v="3"/>
    <n v="2024"/>
    <x v="3"/>
    <x v="1"/>
    <s v="Customer_83"/>
    <x v="6"/>
    <n v="2193"/>
    <n v="0.99"/>
    <n v="2171.0700000000002"/>
    <n v="0.7"/>
    <n v="1535.1"/>
    <x v="453"/>
  </r>
  <r>
    <n v="456"/>
    <s v="2024-01-11"/>
    <x v="2"/>
    <n v="2024"/>
    <x v="1"/>
    <x v="0"/>
    <s v="Customer_17"/>
    <x v="9"/>
    <n v="569"/>
    <n v="0.96"/>
    <n v="546.24"/>
    <n v="0.72"/>
    <n v="409.68"/>
    <x v="454"/>
  </r>
  <r>
    <n v="457"/>
    <s v="2024-06-05"/>
    <x v="8"/>
    <n v="2024"/>
    <x v="1"/>
    <x v="3"/>
    <s v="Customer_49"/>
    <x v="4"/>
    <n v="4260"/>
    <n v="0.98"/>
    <n v="4174.8"/>
    <n v="0.7"/>
    <n v="2982"/>
    <x v="455"/>
  </r>
  <r>
    <n v="458"/>
    <s v="2024-12-12"/>
    <x v="1"/>
    <n v="2024"/>
    <x v="0"/>
    <x v="2"/>
    <s v="Customer_1"/>
    <x v="19"/>
    <n v="3565"/>
    <n v="1.19"/>
    <n v="4242.3500000000004"/>
    <n v="0.89"/>
    <n v="3172.85"/>
    <x v="456"/>
  </r>
  <r>
    <n v="459"/>
    <s v="2024-05-24"/>
    <x v="7"/>
    <n v="2024"/>
    <x v="0"/>
    <x v="3"/>
    <s v="Customer_62"/>
    <x v="15"/>
    <n v="3254"/>
    <n v="1.49"/>
    <n v="4848.46"/>
    <n v="1.1299999999999999"/>
    <n v="3677.02"/>
    <x v="457"/>
  </r>
  <r>
    <n v="460"/>
    <s v="2024-05-21"/>
    <x v="7"/>
    <n v="2024"/>
    <x v="2"/>
    <x v="3"/>
    <s v="Customer_25"/>
    <x v="3"/>
    <n v="4737"/>
    <n v="1.34"/>
    <n v="6347.58"/>
    <n v="1.1100000000000001"/>
    <n v="5258.07"/>
    <x v="458"/>
  </r>
  <r>
    <n v="461"/>
    <s v="2024-11-03"/>
    <x v="0"/>
    <n v="2024"/>
    <x v="2"/>
    <x v="2"/>
    <s v="Customer_88"/>
    <x v="3"/>
    <n v="708"/>
    <n v="1.26"/>
    <n v="892.08"/>
    <n v="1.07"/>
    <n v="757.56"/>
    <x v="459"/>
  </r>
  <r>
    <n v="462"/>
    <s v="2024-05-12"/>
    <x v="7"/>
    <n v="2024"/>
    <x v="1"/>
    <x v="2"/>
    <s v="Customer_50"/>
    <x v="7"/>
    <n v="2055"/>
    <n v="1.04"/>
    <n v="2137.1999999999998"/>
    <n v="0.81"/>
    <n v="1664.55"/>
    <x v="460"/>
  </r>
  <r>
    <n v="463"/>
    <s v="2024-12-17"/>
    <x v="1"/>
    <n v="2024"/>
    <x v="2"/>
    <x v="2"/>
    <s v="Customer_65"/>
    <x v="11"/>
    <n v="1892"/>
    <n v="1.39"/>
    <n v="2629.88"/>
    <n v="1.1399999999999999"/>
    <n v="2156.88"/>
    <x v="461"/>
  </r>
  <r>
    <n v="464"/>
    <s v="2024-04-02"/>
    <x v="10"/>
    <n v="2024"/>
    <x v="0"/>
    <x v="3"/>
    <s v="Customer_61"/>
    <x v="3"/>
    <n v="2618"/>
    <n v="1.31"/>
    <n v="3429.58"/>
    <n v="0.97"/>
    <n v="2539.46"/>
    <x v="462"/>
  </r>
  <r>
    <n v="465"/>
    <s v="2024-04-03"/>
    <x v="10"/>
    <n v="2024"/>
    <x v="0"/>
    <x v="3"/>
    <s v="Customer_29"/>
    <x v="4"/>
    <n v="2329"/>
    <n v="1.32"/>
    <n v="3074.28"/>
    <n v="0.89"/>
    <n v="2072.81"/>
    <x v="463"/>
  </r>
  <r>
    <n v="466"/>
    <s v="2024-06-18"/>
    <x v="8"/>
    <n v="2024"/>
    <x v="2"/>
    <x v="3"/>
    <s v="Customer_75"/>
    <x v="11"/>
    <n v="4299"/>
    <n v="1.4"/>
    <n v="6018.6"/>
    <n v="1"/>
    <n v="4299"/>
    <x v="464"/>
  </r>
  <r>
    <n v="467"/>
    <s v="2024-11-20"/>
    <x v="0"/>
    <n v="2024"/>
    <x v="1"/>
    <x v="0"/>
    <s v="Customer_25"/>
    <x v="19"/>
    <n v="1481"/>
    <n v="1.41"/>
    <n v="2088.21"/>
    <n v="0.98"/>
    <n v="1451.38"/>
    <x v="465"/>
  </r>
  <r>
    <n v="468"/>
    <s v="2024-06-01"/>
    <x v="8"/>
    <n v="2024"/>
    <x v="0"/>
    <x v="2"/>
    <s v="Customer_20"/>
    <x v="3"/>
    <n v="2140"/>
    <n v="1.04"/>
    <n v="2225.6"/>
    <n v="0.88"/>
    <n v="1883.2"/>
    <x v="466"/>
  </r>
  <r>
    <n v="469"/>
    <s v="2024-08-22"/>
    <x v="9"/>
    <n v="2024"/>
    <x v="2"/>
    <x v="1"/>
    <s v="Customer_92"/>
    <x v="9"/>
    <n v="1162"/>
    <n v="1.1399999999999999"/>
    <n v="1324.68"/>
    <n v="0.86"/>
    <n v="999.32"/>
    <x v="467"/>
  </r>
  <r>
    <n v="470"/>
    <s v="2024-03-31"/>
    <x v="3"/>
    <n v="2024"/>
    <x v="0"/>
    <x v="3"/>
    <s v="Customer_1"/>
    <x v="2"/>
    <n v="2740"/>
    <n v="0.95"/>
    <n v="2603"/>
    <n v="0.75"/>
    <n v="2055"/>
    <x v="468"/>
  </r>
  <r>
    <n v="471"/>
    <s v="2024-10-22"/>
    <x v="5"/>
    <n v="2024"/>
    <x v="1"/>
    <x v="1"/>
    <s v="Customer_98"/>
    <x v="15"/>
    <n v="1560"/>
    <n v="1.23"/>
    <n v="1918.8"/>
    <n v="0.93"/>
    <n v="1450.8"/>
    <x v="469"/>
  </r>
  <r>
    <n v="472"/>
    <s v="2024-07-25"/>
    <x v="6"/>
    <n v="2024"/>
    <x v="1"/>
    <x v="2"/>
    <s v="Customer_50"/>
    <x v="1"/>
    <n v="809"/>
    <n v="1.17"/>
    <n v="946.53"/>
    <n v="0.92"/>
    <n v="744.28"/>
    <x v="470"/>
  </r>
  <r>
    <n v="473"/>
    <s v="2024-01-08"/>
    <x v="2"/>
    <n v="2024"/>
    <x v="3"/>
    <x v="3"/>
    <s v="Customer_3"/>
    <x v="1"/>
    <n v="2538"/>
    <n v="0.96"/>
    <n v="2436.48"/>
    <n v="0.79"/>
    <n v="2005.02"/>
    <x v="471"/>
  </r>
  <r>
    <n v="474"/>
    <s v="2024-06-08"/>
    <x v="8"/>
    <n v="2024"/>
    <x v="0"/>
    <x v="1"/>
    <s v="Customer_50"/>
    <x v="19"/>
    <n v="3007"/>
    <n v="0.92"/>
    <n v="2766.44"/>
    <n v="0.74"/>
    <n v="2225.1799999999998"/>
    <x v="472"/>
  </r>
  <r>
    <n v="475"/>
    <s v="2024-06-01"/>
    <x v="8"/>
    <n v="2024"/>
    <x v="1"/>
    <x v="3"/>
    <s v="Customer_94"/>
    <x v="19"/>
    <n v="4793"/>
    <n v="1.04"/>
    <n v="4984.72"/>
    <n v="0.85"/>
    <n v="4074.05"/>
    <x v="473"/>
  </r>
  <r>
    <n v="476"/>
    <s v="2024-03-09"/>
    <x v="3"/>
    <n v="2024"/>
    <x v="1"/>
    <x v="3"/>
    <s v="Customer_46"/>
    <x v="14"/>
    <n v="1850"/>
    <n v="1.46"/>
    <n v="2701"/>
    <n v="1.21"/>
    <n v="2238.5"/>
    <x v="474"/>
  </r>
  <r>
    <n v="477"/>
    <s v="2024-07-25"/>
    <x v="6"/>
    <n v="2024"/>
    <x v="3"/>
    <x v="0"/>
    <s v="Customer_29"/>
    <x v="3"/>
    <n v="2230"/>
    <n v="1.31"/>
    <n v="2921.3"/>
    <n v="0.98"/>
    <n v="2185.4"/>
    <x v="475"/>
  </r>
  <r>
    <n v="478"/>
    <s v="2024-03-27"/>
    <x v="3"/>
    <n v="2024"/>
    <x v="2"/>
    <x v="0"/>
    <s v="Customer_92"/>
    <x v="7"/>
    <n v="3573"/>
    <n v="1.41"/>
    <n v="5037.93"/>
    <n v="0.94"/>
    <n v="3358.62"/>
    <x v="476"/>
  </r>
  <r>
    <n v="479"/>
    <s v="2024-09-30"/>
    <x v="11"/>
    <n v="2024"/>
    <x v="0"/>
    <x v="0"/>
    <s v="Customer_85"/>
    <x v="17"/>
    <n v="661"/>
    <n v="0.83"/>
    <n v="548.63"/>
    <n v="0.52"/>
    <n v="343.72"/>
    <x v="477"/>
  </r>
  <r>
    <n v="480"/>
    <s v="2024-08-15"/>
    <x v="9"/>
    <n v="2024"/>
    <x v="0"/>
    <x v="2"/>
    <s v="Customer_71"/>
    <x v="0"/>
    <n v="4386"/>
    <n v="1.29"/>
    <n v="5657.94"/>
    <n v="0.84"/>
    <n v="3684.24"/>
    <x v="478"/>
  </r>
  <r>
    <n v="481"/>
    <s v="2024-12-17"/>
    <x v="1"/>
    <n v="2024"/>
    <x v="2"/>
    <x v="0"/>
    <s v="Customer_54"/>
    <x v="17"/>
    <n v="4762"/>
    <n v="0.99"/>
    <n v="4714.38"/>
    <n v="0.74"/>
    <n v="3523.88"/>
    <x v="479"/>
  </r>
  <r>
    <n v="482"/>
    <s v="2024-03-11"/>
    <x v="3"/>
    <n v="2024"/>
    <x v="0"/>
    <x v="2"/>
    <s v="Customer_66"/>
    <x v="18"/>
    <n v="1464"/>
    <n v="1"/>
    <n v="1464"/>
    <n v="0.8"/>
    <n v="1171.2"/>
    <x v="480"/>
  </r>
  <r>
    <n v="483"/>
    <s v="2024-09-11"/>
    <x v="11"/>
    <n v="2024"/>
    <x v="3"/>
    <x v="1"/>
    <s v="Customer_100"/>
    <x v="0"/>
    <n v="4785"/>
    <n v="1.48"/>
    <n v="7081.8"/>
    <n v="1.02"/>
    <n v="4880.7"/>
    <x v="481"/>
  </r>
  <r>
    <n v="484"/>
    <s v="2024-07-28"/>
    <x v="6"/>
    <n v="2024"/>
    <x v="3"/>
    <x v="3"/>
    <s v="Customer_6"/>
    <x v="5"/>
    <n v="4566"/>
    <n v="1.44"/>
    <n v="6575.04"/>
    <n v="1.1100000000000001"/>
    <n v="5068.26"/>
    <x v="482"/>
  </r>
  <r>
    <n v="485"/>
    <s v="2024-09-03"/>
    <x v="11"/>
    <n v="2024"/>
    <x v="3"/>
    <x v="3"/>
    <s v="Customer_1"/>
    <x v="1"/>
    <n v="1229"/>
    <n v="1.43"/>
    <n v="1757.47"/>
    <n v="1.1599999999999999"/>
    <n v="1425.64"/>
    <x v="483"/>
  </r>
  <r>
    <n v="486"/>
    <s v="2024-12-08"/>
    <x v="1"/>
    <n v="2024"/>
    <x v="3"/>
    <x v="2"/>
    <s v="Customer_12"/>
    <x v="19"/>
    <n v="1114"/>
    <n v="1.31"/>
    <n v="1459.34"/>
    <n v="0.82"/>
    <n v="913.48"/>
    <x v="484"/>
  </r>
  <r>
    <n v="487"/>
    <s v="2024-05-11"/>
    <x v="7"/>
    <n v="2024"/>
    <x v="1"/>
    <x v="1"/>
    <s v="Customer_38"/>
    <x v="0"/>
    <n v="4303"/>
    <n v="0.84"/>
    <n v="3614.52"/>
    <n v="0.67"/>
    <n v="2883.01"/>
    <x v="485"/>
  </r>
  <r>
    <n v="488"/>
    <s v="2024-01-21"/>
    <x v="2"/>
    <n v="2024"/>
    <x v="2"/>
    <x v="3"/>
    <s v="Customer_87"/>
    <x v="16"/>
    <n v="3989"/>
    <n v="1.32"/>
    <n v="5265.48"/>
    <n v="0.82"/>
    <n v="3270.98"/>
    <x v="486"/>
  </r>
  <r>
    <n v="489"/>
    <s v="2024-01-24"/>
    <x v="2"/>
    <n v="2024"/>
    <x v="3"/>
    <x v="0"/>
    <s v="Customer_85"/>
    <x v="9"/>
    <n v="3192"/>
    <n v="1.05"/>
    <n v="3351.6"/>
    <n v="0.74"/>
    <n v="2362.08"/>
    <x v="487"/>
  </r>
  <r>
    <n v="490"/>
    <s v="2024-11-14"/>
    <x v="0"/>
    <n v="2024"/>
    <x v="0"/>
    <x v="3"/>
    <s v="Customer_48"/>
    <x v="16"/>
    <n v="1998"/>
    <n v="0.88"/>
    <n v="1758.24"/>
    <n v="0.62"/>
    <n v="1238.76"/>
    <x v="488"/>
  </r>
  <r>
    <n v="491"/>
    <s v="2024-08-21"/>
    <x v="9"/>
    <n v="2024"/>
    <x v="1"/>
    <x v="3"/>
    <s v="Customer_89"/>
    <x v="12"/>
    <n v="3954"/>
    <n v="1.25"/>
    <n v="4942.5"/>
    <n v="1"/>
    <n v="3954"/>
    <x v="489"/>
  </r>
  <r>
    <n v="492"/>
    <s v="2024-02-27"/>
    <x v="4"/>
    <n v="2024"/>
    <x v="0"/>
    <x v="1"/>
    <s v="Customer_21"/>
    <x v="17"/>
    <n v="3908"/>
    <n v="1.44"/>
    <n v="5627.52"/>
    <n v="1.04"/>
    <n v="4064.32"/>
    <x v="490"/>
  </r>
  <r>
    <n v="493"/>
    <s v="2024-10-18"/>
    <x v="5"/>
    <n v="2024"/>
    <x v="3"/>
    <x v="2"/>
    <s v="Customer_79"/>
    <x v="13"/>
    <n v="3437"/>
    <n v="1.23"/>
    <n v="4227.51"/>
    <n v="1"/>
    <n v="3437"/>
    <x v="491"/>
  </r>
  <r>
    <n v="494"/>
    <s v="2024-03-07"/>
    <x v="3"/>
    <n v="2024"/>
    <x v="1"/>
    <x v="2"/>
    <s v="Customer_15"/>
    <x v="10"/>
    <n v="4110"/>
    <n v="0.83"/>
    <n v="3411.3"/>
    <n v="0.55000000000000004"/>
    <n v="2260.5"/>
    <x v="492"/>
  </r>
  <r>
    <n v="495"/>
    <s v="2024-06-09"/>
    <x v="8"/>
    <n v="2024"/>
    <x v="3"/>
    <x v="0"/>
    <s v="Customer_86"/>
    <x v="16"/>
    <n v="4752"/>
    <n v="1.17"/>
    <n v="5559.84"/>
    <n v="0.91"/>
    <n v="4324.32"/>
    <x v="493"/>
  </r>
  <r>
    <n v="496"/>
    <s v="2024-02-18"/>
    <x v="4"/>
    <n v="2024"/>
    <x v="3"/>
    <x v="2"/>
    <s v="Customer_62"/>
    <x v="4"/>
    <n v="3652"/>
    <n v="0.9"/>
    <n v="3286.8"/>
    <n v="0.73"/>
    <n v="2665.96"/>
    <x v="494"/>
  </r>
  <r>
    <n v="497"/>
    <s v="2024-11-09"/>
    <x v="0"/>
    <n v="2024"/>
    <x v="0"/>
    <x v="0"/>
    <s v="Customer_83"/>
    <x v="9"/>
    <n v="4641"/>
    <n v="1.39"/>
    <n v="6450.99"/>
    <n v="1.1299999999999999"/>
    <n v="5244.33"/>
    <x v="495"/>
  </r>
  <r>
    <n v="498"/>
    <s v="2024-03-25"/>
    <x v="3"/>
    <n v="2024"/>
    <x v="1"/>
    <x v="0"/>
    <s v="Customer_42"/>
    <x v="6"/>
    <n v="3210"/>
    <n v="1.48"/>
    <n v="4750.8"/>
    <n v="0.91"/>
    <n v="2921.1"/>
    <x v="496"/>
  </r>
  <r>
    <n v="499"/>
    <s v="2024-04-24"/>
    <x v="10"/>
    <n v="2024"/>
    <x v="1"/>
    <x v="2"/>
    <s v="Customer_31"/>
    <x v="15"/>
    <n v="4260"/>
    <n v="1.1100000000000001"/>
    <n v="4728.6000000000004"/>
    <n v="0.83"/>
    <n v="3535.8"/>
    <x v="455"/>
  </r>
  <r>
    <n v="500"/>
    <s v="2024-02-15"/>
    <x v="4"/>
    <n v="2024"/>
    <x v="1"/>
    <x v="2"/>
    <s v="Customer_41"/>
    <x v="17"/>
    <n v="4574"/>
    <n v="1.32"/>
    <n v="6037.68"/>
    <n v="0.8"/>
    <n v="3659.2"/>
    <x v="497"/>
  </r>
  <r>
    <n v="501"/>
    <s v="2024-07-25"/>
    <x v="6"/>
    <n v="2024"/>
    <x v="0"/>
    <x v="2"/>
    <s v="Customer_72"/>
    <x v="5"/>
    <n v="501"/>
    <n v="1.38"/>
    <n v="691.38"/>
    <n v="1.1000000000000001"/>
    <n v="551.1"/>
    <x v="498"/>
  </r>
  <r>
    <n v="502"/>
    <s v="2024-11-12"/>
    <x v="0"/>
    <n v="2024"/>
    <x v="3"/>
    <x v="3"/>
    <s v="Customer_84"/>
    <x v="2"/>
    <n v="3292"/>
    <n v="1.05"/>
    <n v="3456.6"/>
    <n v="0.64"/>
    <n v="2106.88"/>
    <x v="499"/>
  </r>
  <r>
    <n v="503"/>
    <s v="2024-04-24"/>
    <x v="10"/>
    <n v="2024"/>
    <x v="2"/>
    <x v="2"/>
    <s v="Customer_72"/>
    <x v="18"/>
    <n v="4375"/>
    <n v="1.3"/>
    <n v="5687.5"/>
    <n v="0.9"/>
    <n v="3937.5"/>
    <x v="500"/>
  </r>
  <r>
    <n v="504"/>
    <s v="2024-08-19"/>
    <x v="9"/>
    <n v="2024"/>
    <x v="0"/>
    <x v="0"/>
    <s v="Customer_98"/>
    <x v="6"/>
    <n v="517"/>
    <n v="1.04"/>
    <n v="537.67999999999995"/>
    <n v="0.84"/>
    <n v="434.28"/>
    <x v="501"/>
  </r>
  <r>
    <n v="505"/>
    <s v="2024-05-29"/>
    <x v="7"/>
    <n v="2024"/>
    <x v="0"/>
    <x v="3"/>
    <s v="Customer_6"/>
    <x v="9"/>
    <n v="4533"/>
    <n v="0.9"/>
    <n v="4079.7"/>
    <n v="0.7"/>
    <n v="3173.1"/>
    <x v="502"/>
  </r>
  <r>
    <n v="506"/>
    <s v="2024-07-28"/>
    <x v="6"/>
    <n v="2024"/>
    <x v="2"/>
    <x v="0"/>
    <s v="Customer_79"/>
    <x v="14"/>
    <n v="2036"/>
    <n v="0.88"/>
    <n v="1791.68"/>
    <n v="0.72"/>
    <n v="1465.92"/>
    <x v="503"/>
  </r>
  <r>
    <n v="507"/>
    <s v="2024-04-20"/>
    <x v="10"/>
    <n v="2024"/>
    <x v="3"/>
    <x v="2"/>
    <s v="Customer_92"/>
    <x v="16"/>
    <n v="1382"/>
    <n v="1.33"/>
    <n v="1838.06"/>
    <n v="0.81"/>
    <n v="1119.42"/>
    <x v="504"/>
  </r>
  <r>
    <n v="508"/>
    <s v="2024-11-20"/>
    <x v="0"/>
    <n v="2024"/>
    <x v="1"/>
    <x v="0"/>
    <s v="Customer_59"/>
    <x v="8"/>
    <n v="4630"/>
    <n v="0.89"/>
    <n v="4120.7"/>
    <n v="0.64"/>
    <n v="2963.2"/>
    <x v="505"/>
  </r>
  <r>
    <n v="509"/>
    <s v="2024-09-28"/>
    <x v="11"/>
    <n v="2024"/>
    <x v="1"/>
    <x v="0"/>
    <s v="Customer_75"/>
    <x v="12"/>
    <n v="4664"/>
    <n v="1.35"/>
    <n v="6296.4"/>
    <n v="1.1200000000000001"/>
    <n v="5223.68"/>
    <x v="506"/>
  </r>
  <r>
    <n v="510"/>
    <s v="2024-12-20"/>
    <x v="1"/>
    <n v="2024"/>
    <x v="3"/>
    <x v="1"/>
    <s v="Customer_14"/>
    <x v="13"/>
    <n v="3136"/>
    <n v="1.1499999999999999"/>
    <n v="3606.4"/>
    <n v="0.8"/>
    <n v="2508.8000000000002"/>
    <x v="507"/>
  </r>
  <r>
    <n v="511"/>
    <s v="2024-11-07"/>
    <x v="0"/>
    <n v="2024"/>
    <x v="2"/>
    <x v="1"/>
    <s v="Customer_51"/>
    <x v="16"/>
    <n v="2909"/>
    <n v="1.1200000000000001"/>
    <n v="3258.08"/>
    <n v="0.71"/>
    <n v="2065.39"/>
    <x v="508"/>
  </r>
  <r>
    <n v="512"/>
    <s v="2024-07-30"/>
    <x v="6"/>
    <n v="2024"/>
    <x v="2"/>
    <x v="3"/>
    <s v="Customer_92"/>
    <x v="5"/>
    <n v="2280"/>
    <n v="0.94"/>
    <n v="2143.1999999999998"/>
    <n v="0.71"/>
    <n v="1618.8"/>
    <x v="509"/>
  </r>
  <r>
    <n v="513"/>
    <s v="2024-05-28"/>
    <x v="7"/>
    <n v="2024"/>
    <x v="3"/>
    <x v="3"/>
    <s v="Customer_91"/>
    <x v="9"/>
    <n v="4627"/>
    <n v="1.18"/>
    <n v="5459.86"/>
    <n v="0.9"/>
    <n v="4164.3"/>
    <x v="510"/>
  </r>
  <r>
    <n v="514"/>
    <s v="2024-12-29"/>
    <x v="1"/>
    <n v="2024"/>
    <x v="2"/>
    <x v="0"/>
    <s v="Customer_72"/>
    <x v="12"/>
    <n v="3919"/>
    <n v="1.27"/>
    <n v="4977.13"/>
    <n v="1.05"/>
    <n v="4114.95"/>
    <x v="511"/>
  </r>
  <r>
    <n v="515"/>
    <s v="2024-09-30"/>
    <x v="11"/>
    <n v="2024"/>
    <x v="1"/>
    <x v="3"/>
    <s v="Customer_2"/>
    <x v="19"/>
    <n v="1372"/>
    <n v="0.82"/>
    <n v="1125.04"/>
    <n v="0.52"/>
    <n v="713.44"/>
    <x v="512"/>
  </r>
  <r>
    <n v="516"/>
    <s v="2024-12-09"/>
    <x v="1"/>
    <n v="2024"/>
    <x v="3"/>
    <x v="0"/>
    <s v="Customer_35"/>
    <x v="9"/>
    <n v="2847"/>
    <n v="1.28"/>
    <n v="3644.16"/>
    <n v="0.81"/>
    <n v="2306.0700000000002"/>
    <x v="513"/>
  </r>
  <r>
    <n v="517"/>
    <s v="2024-02-01"/>
    <x v="4"/>
    <n v="2024"/>
    <x v="3"/>
    <x v="3"/>
    <s v="Customer_97"/>
    <x v="5"/>
    <n v="764"/>
    <n v="1.05"/>
    <n v="802.2"/>
    <n v="0.75"/>
    <n v="573"/>
    <x v="514"/>
  </r>
  <r>
    <n v="518"/>
    <s v="2024-11-11"/>
    <x v="0"/>
    <n v="2024"/>
    <x v="1"/>
    <x v="1"/>
    <s v="Customer_31"/>
    <x v="19"/>
    <n v="2856"/>
    <n v="1.29"/>
    <n v="3684.24"/>
    <n v="0.79"/>
    <n v="2256.2399999999998"/>
    <x v="515"/>
  </r>
  <r>
    <n v="519"/>
    <s v="2024-07-14"/>
    <x v="6"/>
    <n v="2024"/>
    <x v="1"/>
    <x v="2"/>
    <s v="Customer_88"/>
    <x v="16"/>
    <n v="940"/>
    <n v="0.81"/>
    <n v="761.4"/>
    <n v="0.54"/>
    <n v="507.6"/>
    <x v="516"/>
  </r>
  <r>
    <n v="520"/>
    <s v="2024-11-13"/>
    <x v="0"/>
    <n v="2024"/>
    <x v="3"/>
    <x v="2"/>
    <s v="Customer_82"/>
    <x v="4"/>
    <n v="4977"/>
    <n v="1.32"/>
    <n v="6569.64"/>
    <n v="0.86"/>
    <n v="4280.22"/>
    <x v="517"/>
  </r>
  <r>
    <n v="521"/>
    <s v="2024-04-09"/>
    <x v="10"/>
    <n v="2024"/>
    <x v="1"/>
    <x v="3"/>
    <s v="Customer_23"/>
    <x v="15"/>
    <n v="2031"/>
    <n v="1.47"/>
    <n v="2985.57"/>
    <n v="1.1499999999999999"/>
    <n v="2335.65"/>
    <x v="518"/>
  </r>
  <r>
    <n v="522"/>
    <s v="2024-03-02"/>
    <x v="3"/>
    <n v="2024"/>
    <x v="0"/>
    <x v="2"/>
    <s v="Customer_55"/>
    <x v="0"/>
    <n v="2664"/>
    <n v="0.89"/>
    <n v="2370.96"/>
    <n v="0.66"/>
    <n v="1758.24"/>
    <x v="519"/>
  </r>
  <r>
    <n v="523"/>
    <s v="2024-05-10"/>
    <x v="7"/>
    <n v="2024"/>
    <x v="2"/>
    <x v="0"/>
    <s v="Customer_60"/>
    <x v="3"/>
    <n v="827"/>
    <n v="0.91"/>
    <n v="752.57"/>
    <n v="0.62"/>
    <n v="512.74"/>
    <x v="520"/>
  </r>
  <r>
    <n v="524"/>
    <s v="2024-01-27"/>
    <x v="2"/>
    <n v="2024"/>
    <x v="1"/>
    <x v="3"/>
    <s v="Customer_74"/>
    <x v="5"/>
    <n v="3433"/>
    <n v="0.85"/>
    <n v="2918.05"/>
    <n v="0.66"/>
    <n v="2265.7800000000002"/>
    <x v="521"/>
  </r>
  <r>
    <n v="525"/>
    <s v="2024-09-26"/>
    <x v="11"/>
    <n v="2024"/>
    <x v="3"/>
    <x v="1"/>
    <s v="Customer_67"/>
    <x v="15"/>
    <n v="4638"/>
    <n v="0.91"/>
    <n v="4220.58"/>
    <n v="0.67"/>
    <n v="3107.46"/>
    <x v="522"/>
  </r>
  <r>
    <n v="526"/>
    <s v="2024-07-25"/>
    <x v="6"/>
    <n v="2024"/>
    <x v="2"/>
    <x v="0"/>
    <s v="Customer_29"/>
    <x v="14"/>
    <n v="3218"/>
    <n v="1.03"/>
    <n v="3314.54"/>
    <n v="0.69"/>
    <n v="2220.42"/>
    <x v="523"/>
  </r>
  <r>
    <n v="527"/>
    <s v="2024-11-12"/>
    <x v="0"/>
    <n v="2024"/>
    <x v="0"/>
    <x v="2"/>
    <s v="Customer_15"/>
    <x v="4"/>
    <n v="4150"/>
    <n v="0.97"/>
    <n v="4025.5"/>
    <n v="0.74"/>
    <n v="3071"/>
    <x v="524"/>
  </r>
  <r>
    <n v="528"/>
    <s v="2024-11-14"/>
    <x v="0"/>
    <n v="2024"/>
    <x v="0"/>
    <x v="1"/>
    <s v="Customer_88"/>
    <x v="16"/>
    <n v="3624"/>
    <n v="1.44"/>
    <n v="5218.5600000000004"/>
    <n v="1.2"/>
    <n v="4348.8"/>
    <x v="525"/>
  </r>
  <r>
    <n v="529"/>
    <s v="2024-07-16"/>
    <x v="6"/>
    <n v="2024"/>
    <x v="2"/>
    <x v="3"/>
    <s v="Customer_4"/>
    <x v="19"/>
    <n v="3571"/>
    <n v="1.1599999999999999"/>
    <n v="4142.3599999999997"/>
    <n v="0.84"/>
    <n v="2999.64"/>
    <x v="526"/>
  </r>
  <r>
    <n v="530"/>
    <s v="2024-09-06"/>
    <x v="11"/>
    <n v="2024"/>
    <x v="2"/>
    <x v="0"/>
    <s v="Customer_84"/>
    <x v="14"/>
    <n v="3124"/>
    <n v="1.1599999999999999"/>
    <n v="3623.84"/>
    <n v="0.97"/>
    <n v="3030.28"/>
    <x v="527"/>
  </r>
  <r>
    <n v="531"/>
    <s v="2024-03-26"/>
    <x v="3"/>
    <n v="2024"/>
    <x v="0"/>
    <x v="0"/>
    <s v="Customer_27"/>
    <x v="14"/>
    <n v="3975"/>
    <n v="1.38"/>
    <n v="5485.5"/>
    <n v="0.9"/>
    <n v="3577.5"/>
    <x v="528"/>
  </r>
  <r>
    <n v="532"/>
    <s v="2024-12-25"/>
    <x v="1"/>
    <n v="2024"/>
    <x v="0"/>
    <x v="2"/>
    <s v="Customer_96"/>
    <x v="3"/>
    <n v="694"/>
    <n v="1.1200000000000001"/>
    <n v="777.28"/>
    <n v="0.76"/>
    <n v="527.44000000000005"/>
    <x v="529"/>
  </r>
  <r>
    <n v="533"/>
    <s v="2024-02-14"/>
    <x v="4"/>
    <n v="2024"/>
    <x v="0"/>
    <x v="0"/>
    <s v="Customer_23"/>
    <x v="0"/>
    <n v="1077"/>
    <n v="1.2"/>
    <n v="1292.4000000000001"/>
    <n v="0.79"/>
    <n v="850.83"/>
    <x v="530"/>
  </r>
  <r>
    <n v="534"/>
    <s v="2024-05-12"/>
    <x v="7"/>
    <n v="2024"/>
    <x v="1"/>
    <x v="2"/>
    <s v="Customer_58"/>
    <x v="13"/>
    <n v="4047"/>
    <n v="1.02"/>
    <n v="4127.9399999999996"/>
    <n v="0.71"/>
    <n v="2873.37"/>
    <x v="531"/>
  </r>
  <r>
    <n v="535"/>
    <s v="2024-03-01"/>
    <x v="3"/>
    <n v="2024"/>
    <x v="0"/>
    <x v="0"/>
    <s v="Customer_97"/>
    <x v="8"/>
    <n v="872"/>
    <n v="1.29"/>
    <n v="1124.8800000000001"/>
    <n v="0.8"/>
    <n v="697.6"/>
    <x v="532"/>
  </r>
  <r>
    <n v="536"/>
    <s v="2024-09-14"/>
    <x v="11"/>
    <n v="2024"/>
    <x v="2"/>
    <x v="0"/>
    <s v="Customer_88"/>
    <x v="11"/>
    <n v="1208"/>
    <n v="1"/>
    <n v="1208"/>
    <n v="0.83"/>
    <n v="1002.64"/>
    <x v="533"/>
  </r>
  <r>
    <n v="537"/>
    <s v="2024-07-14"/>
    <x v="6"/>
    <n v="2024"/>
    <x v="0"/>
    <x v="2"/>
    <s v="Customer_61"/>
    <x v="9"/>
    <n v="4870"/>
    <n v="0.95"/>
    <n v="4626.5"/>
    <n v="0.75"/>
    <n v="3652.5"/>
    <x v="534"/>
  </r>
  <r>
    <n v="538"/>
    <s v="2024-10-06"/>
    <x v="5"/>
    <n v="2024"/>
    <x v="3"/>
    <x v="3"/>
    <s v="Customer_39"/>
    <x v="4"/>
    <n v="591"/>
    <n v="1.19"/>
    <n v="703.29"/>
    <n v="0.88"/>
    <n v="520.08000000000004"/>
    <x v="535"/>
  </r>
  <r>
    <n v="539"/>
    <s v="2024-03-04"/>
    <x v="3"/>
    <n v="2024"/>
    <x v="0"/>
    <x v="0"/>
    <s v="Customer_74"/>
    <x v="18"/>
    <n v="3728"/>
    <n v="1.18"/>
    <n v="4399.04"/>
    <n v="0.99"/>
    <n v="3690.72"/>
    <x v="536"/>
  </r>
  <r>
    <n v="540"/>
    <s v="2024-06-05"/>
    <x v="8"/>
    <n v="2024"/>
    <x v="2"/>
    <x v="1"/>
    <s v="Customer_28"/>
    <x v="10"/>
    <n v="4698"/>
    <n v="0.9"/>
    <n v="4228.2"/>
    <n v="0.57999999999999996"/>
    <n v="2724.84"/>
    <x v="537"/>
  </r>
  <r>
    <n v="541"/>
    <s v="2024-11-11"/>
    <x v="0"/>
    <n v="2024"/>
    <x v="3"/>
    <x v="3"/>
    <s v="Customer_15"/>
    <x v="9"/>
    <n v="945"/>
    <n v="1.4"/>
    <n v="1323"/>
    <n v="1.17"/>
    <n v="1105.6500000000001"/>
    <x v="538"/>
  </r>
  <r>
    <n v="542"/>
    <s v="2024-10-08"/>
    <x v="5"/>
    <n v="2024"/>
    <x v="0"/>
    <x v="2"/>
    <s v="Customer_38"/>
    <x v="15"/>
    <n v="2553"/>
    <n v="0.87"/>
    <n v="2221.11"/>
    <n v="0.68"/>
    <n v="1736.04"/>
    <x v="539"/>
  </r>
  <r>
    <n v="543"/>
    <s v="2024-09-06"/>
    <x v="11"/>
    <n v="2024"/>
    <x v="2"/>
    <x v="3"/>
    <s v="Customer_17"/>
    <x v="6"/>
    <n v="1319"/>
    <n v="1"/>
    <n v="1319"/>
    <n v="0.62"/>
    <n v="817.78"/>
    <x v="540"/>
  </r>
  <r>
    <n v="544"/>
    <s v="2024-04-09"/>
    <x v="10"/>
    <n v="2024"/>
    <x v="1"/>
    <x v="3"/>
    <s v="Customer_58"/>
    <x v="16"/>
    <n v="3004"/>
    <n v="1.29"/>
    <n v="3875.16"/>
    <n v="0.82"/>
    <n v="2463.2800000000002"/>
    <x v="541"/>
  </r>
  <r>
    <n v="545"/>
    <s v="2024-10-17"/>
    <x v="5"/>
    <n v="2024"/>
    <x v="2"/>
    <x v="3"/>
    <s v="Customer_55"/>
    <x v="9"/>
    <n v="539"/>
    <n v="1.02"/>
    <n v="549.78"/>
    <n v="0.81"/>
    <n v="436.59"/>
    <x v="542"/>
  </r>
  <r>
    <n v="546"/>
    <s v="2024-12-30"/>
    <x v="1"/>
    <n v="2024"/>
    <x v="2"/>
    <x v="2"/>
    <s v="Customer_47"/>
    <x v="3"/>
    <n v="3216"/>
    <n v="1.41"/>
    <n v="4534.5600000000004"/>
    <n v="1.01"/>
    <n v="3248.16"/>
    <x v="543"/>
  </r>
  <r>
    <n v="547"/>
    <s v="2024-07-02"/>
    <x v="6"/>
    <n v="2024"/>
    <x v="1"/>
    <x v="3"/>
    <s v="Customer_71"/>
    <x v="17"/>
    <n v="1939"/>
    <n v="1.25"/>
    <n v="2423.75"/>
    <n v="0.78"/>
    <n v="1512.42"/>
    <x v="544"/>
  </r>
  <r>
    <n v="548"/>
    <s v="2024-05-23"/>
    <x v="7"/>
    <n v="2024"/>
    <x v="3"/>
    <x v="1"/>
    <s v="Customer_34"/>
    <x v="15"/>
    <n v="1117"/>
    <n v="1.42"/>
    <n v="1586.14"/>
    <n v="1.1499999999999999"/>
    <n v="1284.55"/>
    <x v="545"/>
  </r>
  <r>
    <n v="549"/>
    <s v="2024-11-19"/>
    <x v="0"/>
    <n v="2024"/>
    <x v="1"/>
    <x v="0"/>
    <s v="Customer_99"/>
    <x v="8"/>
    <n v="2242"/>
    <n v="1.43"/>
    <n v="3206.06"/>
    <n v="1.06"/>
    <n v="2376.52"/>
    <x v="546"/>
  </r>
  <r>
    <n v="550"/>
    <s v="2024-10-05"/>
    <x v="5"/>
    <n v="2024"/>
    <x v="3"/>
    <x v="2"/>
    <s v="Customer_47"/>
    <x v="13"/>
    <n v="2329"/>
    <n v="1.42"/>
    <n v="3307.18"/>
    <n v="1.06"/>
    <n v="2468.7399999999998"/>
    <x v="547"/>
  </r>
  <r>
    <n v="551"/>
    <s v="2024-05-28"/>
    <x v="7"/>
    <n v="2024"/>
    <x v="1"/>
    <x v="1"/>
    <s v="Customer_65"/>
    <x v="19"/>
    <n v="1241"/>
    <n v="1.08"/>
    <n v="1340.28"/>
    <n v="0.78"/>
    <n v="967.98"/>
    <x v="548"/>
  </r>
  <r>
    <n v="552"/>
    <s v="2024-12-05"/>
    <x v="1"/>
    <n v="2024"/>
    <x v="3"/>
    <x v="1"/>
    <s v="Customer_97"/>
    <x v="19"/>
    <n v="1649"/>
    <n v="1.1100000000000001"/>
    <n v="1830.39"/>
    <n v="0.72"/>
    <n v="1187.28"/>
    <x v="549"/>
  </r>
  <r>
    <n v="553"/>
    <s v="2024-10-16"/>
    <x v="5"/>
    <n v="2024"/>
    <x v="1"/>
    <x v="1"/>
    <s v="Customer_46"/>
    <x v="7"/>
    <n v="2292"/>
    <n v="1.33"/>
    <n v="3048.36"/>
    <n v="0.88"/>
    <n v="2016.96"/>
    <x v="550"/>
  </r>
  <r>
    <n v="554"/>
    <s v="2024-05-15"/>
    <x v="7"/>
    <n v="2024"/>
    <x v="3"/>
    <x v="3"/>
    <s v="Customer_6"/>
    <x v="14"/>
    <n v="4742"/>
    <n v="1.44"/>
    <n v="6828.48"/>
    <n v="0.99"/>
    <n v="4694.58"/>
    <x v="551"/>
  </r>
  <r>
    <n v="555"/>
    <s v="2024-08-28"/>
    <x v="9"/>
    <n v="2024"/>
    <x v="0"/>
    <x v="2"/>
    <s v="Customer_6"/>
    <x v="16"/>
    <n v="1345"/>
    <n v="1.29"/>
    <n v="1735.05"/>
    <n v="0.94"/>
    <n v="1264.3"/>
    <x v="552"/>
  </r>
  <r>
    <n v="556"/>
    <s v="2024-05-20"/>
    <x v="7"/>
    <n v="2024"/>
    <x v="3"/>
    <x v="3"/>
    <s v="Customer_49"/>
    <x v="13"/>
    <n v="3492"/>
    <n v="1.21"/>
    <n v="4225.32"/>
    <n v="1"/>
    <n v="3492"/>
    <x v="553"/>
  </r>
  <r>
    <n v="557"/>
    <s v="2024-02-09"/>
    <x v="4"/>
    <n v="2024"/>
    <x v="1"/>
    <x v="3"/>
    <s v="Customer_29"/>
    <x v="19"/>
    <n v="3824"/>
    <n v="1.05"/>
    <n v="4015.2"/>
    <n v="0.86"/>
    <n v="3288.64"/>
    <x v="554"/>
  </r>
  <r>
    <n v="558"/>
    <s v="2024-09-06"/>
    <x v="11"/>
    <n v="2024"/>
    <x v="0"/>
    <x v="2"/>
    <s v="Customer_65"/>
    <x v="3"/>
    <n v="4103"/>
    <n v="0.92"/>
    <n v="3774.76"/>
    <n v="0.56999999999999995"/>
    <n v="2338.71"/>
    <x v="555"/>
  </r>
  <r>
    <n v="559"/>
    <s v="2024-11-25"/>
    <x v="0"/>
    <n v="2024"/>
    <x v="3"/>
    <x v="3"/>
    <s v="Customer_20"/>
    <x v="9"/>
    <n v="1789"/>
    <n v="1.05"/>
    <n v="1878.45"/>
    <n v="0.82"/>
    <n v="1466.98"/>
    <x v="556"/>
  </r>
  <r>
    <n v="560"/>
    <s v="2024-03-01"/>
    <x v="3"/>
    <n v="2024"/>
    <x v="1"/>
    <x v="1"/>
    <s v="Customer_43"/>
    <x v="17"/>
    <n v="4444"/>
    <n v="1.27"/>
    <n v="5643.88"/>
    <n v="0.91"/>
    <n v="4044.04"/>
    <x v="557"/>
  </r>
  <r>
    <n v="561"/>
    <s v="2024-10-29"/>
    <x v="5"/>
    <n v="2024"/>
    <x v="1"/>
    <x v="1"/>
    <s v="Customer_3"/>
    <x v="6"/>
    <n v="853"/>
    <n v="0.89"/>
    <n v="759.17"/>
    <n v="0.67"/>
    <n v="571.51"/>
    <x v="558"/>
  </r>
  <r>
    <n v="562"/>
    <s v="2024-03-09"/>
    <x v="3"/>
    <n v="2024"/>
    <x v="3"/>
    <x v="0"/>
    <s v="Customer_8"/>
    <x v="9"/>
    <n v="2615"/>
    <n v="1.45"/>
    <n v="3791.75"/>
    <n v="1.06"/>
    <n v="2771.9"/>
    <x v="559"/>
  </r>
  <r>
    <n v="563"/>
    <s v="2024-07-26"/>
    <x v="6"/>
    <n v="2024"/>
    <x v="2"/>
    <x v="0"/>
    <s v="Customer_11"/>
    <x v="14"/>
    <n v="4179"/>
    <n v="1.22"/>
    <n v="5098.38"/>
    <n v="0.88"/>
    <n v="3677.52"/>
    <x v="560"/>
  </r>
  <r>
    <n v="564"/>
    <s v="2024-09-03"/>
    <x v="11"/>
    <n v="2024"/>
    <x v="3"/>
    <x v="1"/>
    <s v="Customer_53"/>
    <x v="18"/>
    <n v="1669"/>
    <n v="1.36"/>
    <n v="2269.84"/>
    <n v="1.0900000000000001"/>
    <n v="1819.21"/>
    <x v="561"/>
  </r>
  <r>
    <n v="565"/>
    <s v="2024-04-03"/>
    <x v="10"/>
    <n v="2024"/>
    <x v="3"/>
    <x v="3"/>
    <s v="Customer_93"/>
    <x v="16"/>
    <n v="4214"/>
    <n v="1.22"/>
    <n v="5141.08"/>
    <n v="0.75"/>
    <n v="3160.5"/>
    <x v="562"/>
  </r>
  <r>
    <n v="566"/>
    <s v="2024-07-12"/>
    <x v="6"/>
    <n v="2024"/>
    <x v="3"/>
    <x v="2"/>
    <s v="Customer_14"/>
    <x v="1"/>
    <n v="2157"/>
    <n v="1.17"/>
    <n v="2523.69"/>
    <n v="0.97"/>
    <n v="2092.29"/>
    <x v="563"/>
  </r>
  <r>
    <n v="567"/>
    <s v="2024-12-16"/>
    <x v="1"/>
    <n v="2024"/>
    <x v="3"/>
    <x v="2"/>
    <s v="Customer_78"/>
    <x v="17"/>
    <n v="1953"/>
    <n v="1.1299999999999999"/>
    <n v="2206.89"/>
    <n v="0.85"/>
    <n v="1660.05"/>
    <x v="564"/>
  </r>
  <r>
    <n v="568"/>
    <s v="2024-01-20"/>
    <x v="2"/>
    <n v="2024"/>
    <x v="0"/>
    <x v="0"/>
    <s v="Customer_62"/>
    <x v="3"/>
    <n v="4917"/>
    <n v="1.38"/>
    <n v="6785.46"/>
    <n v="1.1399999999999999"/>
    <n v="5605.38"/>
    <x v="565"/>
  </r>
  <r>
    <n v="569"/>
    <s v="2024-12-13"/>
    <x v="1"/>
    <n v="2024"/>
    <x v="1"/>
    <x v="2"/>
    <s v="Customer_48"/>
    <x v="7"/>
    <n v="4840"/>
    <n v="1.1000000000000001"/>
    <n v="5324"/>
    <n v="0.92"/>
    <n v="4452.8"/>
    <x v="566"/>
  </r>
  <r>
    <n v="570"/>
    <s v="2024-09-03"/>
    <x v="11"/>
    <n v="2024"/>
    <x v="2"/>
    <x v="2"/>
    <s v="Customer_76"/>
    <x v="8"/>
    <n v="1300"/>
    <n v="1.1000000000000001"/>
    <n v="1430"/>
    <n v="0.73"/>
    <n v="949"/>
    <x v="567"/>
  </r>
  <r>
    <n v="571"/>
    <s v="2024-04-29"/>
    <x v="10"/>
    <n v="2024"/>
    <x v="2"/>
    <x v="0"/>
    <s v="Customer_77"/>
    <x v="5"/>
    <n v="3847"/>
    <n v="0.98"/>
    <n v="3770.06"/>
    <n v="0.59"/>
    <n v="2269.73"/>
    <x v="568"/>
  </r>
  <r>
    <n v="572"/>
    <s v="2024-01-04"/>
    <x v="2"/>
    <n v="2024"/>
    <x v="0"/>
    <x v="0"/>
    <s v="Customer_49"/>
    <x v="14"/>
    <n v="3087"/>
    <n v="1.0900000000000001"/>
    <n v="3364.83"/>
    <n v="0.68"/>
    <n v="2099.16"/>
    <x v="569"/>
  </r>
  <r>
    <n v="573"/>
    <s v="2024-08-06"/>
    <x v="9"/>
    <n v="2024"/>
    <x v="2"/>
    <x v="3"/>
    <s v="Customer_69"/>
    <x v="10"/>
    <n v="3495"/>
    <n v="1.23"/>
    <n v="4298.8500000000004"/>
    <n v="1.04"/>
    <n v="3634.8"/>
    <x v="570"/>
  </r>
  <r>
    <n v="574"/>
    <s v="2024-07-22"/>
    <x v="6"/>
    <n v="2024"/>
    <x v="1"/>
    <x v="1"/>
    <s v="Customer_71"/>
    <x v="5"/>
    <n v="4452"/>
    <n v="0.93"/>
    <n v="4140.3599999999997"/>
    <n v="0.69"/>
    <n v="3071.88"/>
    <x v="571"/>
  </r>
  <r>
    <n v="575"/>
    <s v="2024-09-04"/>
    <x v="11"/>
    <n v="2024"/>
    <x v="2"/>
    <x v="3"/>
    <s v="Customer_74"/>
    <x v="4"/>
    <n v="3761"/>
    <n v="1.32"/>
    <n v="4964.5200000000004"/>
    <n v="1.07"/>
    <n v="4024.27"/>
    <x v="572"/>
  </r>
  <r>
    <n v="576"/>
    <s v="2024-12-03"/>
    <x v="1"/>
    <n v="2024"/>
    <x v="3"/>
    <x v="0"/>
    <s v="Customer_58"/>
    <x v="9"/>
    <n v="1321"/>
    <n v="0.95"/>
    <n v="1254.95"/>
    <n v="0.67"/>
    <n v="885.07"/>
    <x v="573"/>
  </r>
  <r>
    <n v="577"/>
    <s v="2024-06-22"/>
    <x v="8"/>
    <n v="2024"/>
    <x v="3"/>
    <x v="0"/>
    <s v="Customer_50"/>
    <x v="1"/>
    <n v="1246"/>
    <n v="1.38"/>
    <n v="1719.48"/>
    <n v="0.99"/>
    <n v="1233.54"/>
    <x v="574"/>
  </r>
  <r>
    <n v="578"/>
    <s v="2024-11-03"/>
    <x v="0"/>
    <n v="2024"/>
    <x v="0"/>
    <x v="2"/>
    <s v="Customer_9"/>
    <x v="0"/>
    <n v="2316"/>
    <n v="1.06"/>
    <n v="2454.96"/>
    <n v="0.8"/>
    <n v="1852.8"/>
    <x v="575"/>
  </r>
  <r>
    <n v="579"/>
    <s v="2024-07-15"/>
    <x v="6"/>
    <n v="2024"/>
    <x v="2"/>
    <x v="2"/>
    <s v="Customer_92"/>
    <x v="18"/>
    <n v="970"/>
    <n v="1.46"/>
    <n v="1416.2"/>
    <n v="1.18"/>
    <n v="1144.5999999999999"/>
    <x v="576"/>
  </r>
  <r>
    <n v="580"/>
    <s v="2024-11-23"/>
    <x v="0"/>
    <n v="2024"/>
    <x v="1"/>
    <x v="2"/>
    <s v="Customer_2"/>
    <x v="14"/>
    <n v="4744"/>
    <n v="1"/>
    <n v="4744"/>
    <n v="0.61"/>
    <n v="2893.84"/>
    <x v="577"/>
  </r>
  <r>
    <n v="581"/>
    <s v="2024-11-02"/>
    <x v="0"/>
    <n v="2024"/>
    <x v="3"/>
    <x v="1"/>
    <s v="Customer_87"/>
    <x v="7"/>
    <n v="3446"/>
    <n v="0.97"/>
    <n v="3342.62"/>
    <n v="0.57999999999999996"/>
    <n v="1998.68"/>
    <x v="578"/>
  </r>
  <r>
    <n v="582"/>
    <s v="2024-03-21"/>
    <x v="3"/>
    <n v="2024"/>
    <x v="2"/>
    <x v="0"/>
    <s v="Customer_100"/>
    <x v="13"/>
    <n v="3392"/>
    <n v="1.27"/>
    <n v="4307.84"/>
    <n v="0.89"/>
    <n v="3018.88"/>
    <x v="579"/>
  </r>
  <r>
    <n v="583"/>
    <s v="2024-04-12"/>
    <x v="10"/>
    <n v="2024"/>
    <x v="0"/>
    <x v="0"/>
    <s v="Customer_12"/>
    <x v="5"/>
    <n v="2830"/>
    <n v="1.31"/>
    <n v="3707.3"/>
    <n v="0.97"/>
    <n v="2745.1"/>
    <x v="580"/>
  </r>
  <r>
    <n v="584"/>
    <s v="2024-10-25"/>
    <x v="5"/>
    <n v="2024"/>
    <x v="2"/>
    <x v="3"/>
    <s v="Customer_36"/>
    <x v="6"/>
    <n v="2093"/>
    <n v="1.1200000000000001"/>
    <n v="2344.16"/>
    <n v="0.79"/>
    <n v="1653.47"/>
    <x v="581"/>
  </r>
  <r>
    <n v="585"/>
    <s v="2024-01-03"/>
    <x v="2"/>
    <n v="2024"/>
    <x v="3"/>
    <x v="3"/>
    <s v="Customer_53"/>
    <x v="19"/>
    <n v="1372"/>
    <n v="1.19"/>
    <n v="1632.68"/>
    <n v="0.86"/>
    <n v="1179.92"/>
    <x v="582"/>
  </r>
  <r>
    <n v="586"/>
    <s v="2024-06-23"/>
    <x v="8"/>
    <n v="2024"/>
    <x v="2"/>
    <x v="0"/>
    <s v="Customer_69"/>
    <x v="8"/>
    <n v="2549"/>
    <n v="1.29"/>
    <n v="3288.21"/>
    <n v="1.0900000000000001"/>
    <n v="2778.41"/>
    <x v="583"/>
  </r>
  <r>
    <n v="587"/>
    <s v="2024-10-15"/>
    <x v="5"/>
    <n v="2024"/>
    <x v="3"/>
    <x v="2"/>
    <s v="Customer_97"/>
    <x v="16"/>
    <n v="4258"/>
    <n v="1.28"/>
    <n v="5450.24"/>
    <n v="1.05"/>
    <n v="4470.8999999999996"/>
    <x v="584"/>
  </r>
  <r>
    <n v="588"/>
    <s v="2024-01-15"/>
    <x v="2"/>
    <n v="2024"/>
    <x v="0"/>
    <x v="2"/>
    <s v="Customer_34"/>
    <x v="15"/>
    <n v="3634"/>
    <n v="1.24"/>
    <n v="4506.16"/>
    <n v="1.05"/>
    <n v="3815.7"/>
    <x v="585"/>
  </r>
  <r>
    <n v="589"/>
    <s v="2024-12-12"/>
    <x v="1"/>
    <n v="2024"/>
    <x v="2"/>
    <x v="1"/>
    <s v="Customer_53"/>
    <x v="4"/>
    <n v="4731"/>
    <n v="1.17"/>
    <n v="5535.27"/>
    <n v="0.91"/>
    <n v="4305.21"/>
    <x v="586"/>
  </r>
  <r>
    <n v="590"/>
    <s v="2024-05-14"/>
    <x v="7"/>
    <n v="2024"/>
    <x v="2"/>
    <x v="1"/>
    <s v="Customer_12"/>
    <x v="13"/>
    <n v="3301"/>
    <n v="0.85"/>
    <n v="2805.85"/>
    <n v="0.71"/>
    <n v="2343.71"/>
    <x v="587"/>
  </r>
  <r>
    <n v="591"/>
    <s v="2024-08-31"/>
    <x v="9"/>
    <n v="2024"/>
    <x v="2"/>
    <x v="3"/>
    <s v="Customer_28"/>
    <x v="8"/>
    <n v="2704"/>
    <n v="0.93"/>
    <n v="2514.7199999999998"/>
    <n v="0.73"/>
    <n v="1973.92"/>
    <x v="588"/>
  </r>
  <r>
    <n v="592"/>
    <s v="2024-04-07"/>
    <x v="10"/>
    <n v="2024"/>
    <x v="3"/>
    <x v="2"/>
    <s v="Customer_31"/>
    <x v="6"/>
    <n v="2674"/>
    <n v="0.94"/>
    <n v="2513.56"/>
    <n v="0.61"/>
    <n v="1631.14"/>
    <x v="589"/>
  </r>
  <r>
    <n v="593"/>
    <s v="2024-05-07"/>
    <x v="7"/>
    <n v="2024"/>
    <x v="3"/>
    <x v="3"/>
    <s v="Customer_100"/>
    <x v="17"/>
    <n v="1482"/>
    <n v="1.44"/>
    <n v="2134.08"/>
    <n v="1.1100000000000001"/>
    <n v="1645.02"/>
    <x v="590"/>
  </r>
  <r>
    <n v="594"/>
    <s v="2024-12-05"/>
    <x v="1"/>
    <n v="2024"/>
    <x v="0"/>
    <x v="2"/>
    <s v="Customer_98"/>
    <x v="5"/>
    <n v="846"/>
    <n v="1.39"/>
    <n v="1175.94"/>
    <n v="0.96"/>
    <n v="812.16"/>
    <x v="591"/>
  </r>
  <r>
    <n v="595"/>
    <s v="2024-06-10"/>
    <x v="8"/>
    <n v="2024"/>
    <x v="2"/>
    <x v="2"/>
    <s v="Customer_63"/>
    <x v="9"/>
    <n v="4687"/>
    <n v="1"/>
    <n v="4687"/>
    <n v="0.66"/>
    <n v="3093.42"/>
    <x v="592"/>
  </r>
  <r>
    <n v="596"/>
    <s v="2024-10-22"/>
    <x v="5"/>
    <n v="2024"/>
    <x v="0"/>
    <x v="1"/>
    <s v="Customer_68"/>
    <x v="10"/>
    <n v="4418"/>
    <n v="1.46"/>
    <n v="6450.28"/>
    <n v="0.89"/>
    <n v="3932.02"/>
    <x v="593"/>
  </r>
  <r>
    <n v="597"/>
    <s v="2024-06-26"/>
    <x v="8"/>
    <n v="2024"/>
    <x v="3"/>
    <x v="2"/>
    <s v="Customer_59"/>
    <x v="17"/>
    <n v="4745"/>
    <n v="1.1200000000000001"/>
    <n v="5314.4"/>
    <n v="0.86"/>
    <n v="4080.7"/>
    <x v="594"/>
  </r>
  <r>
    <n v="598"/>
    <s v="2024-01-07"/>
    <x v="2"/>
    <n v="2024"/>
    <x v="1"/>
    <x v="1"/>
    <s v="Customer_75"/>
    <x v="17"/>
    <n v="3165"/>
    <n v="1.05"/>
    <n v="3323.25"/>
    <n v="0.86"/>
    <n v="2721.9"/>
    <x v="595"/>
  </r>
  <r>
    <n v="599"/>
    <s v="2024-04-05"/>
    <x v="10"/>
    <n v="2024"/>
    <x v="3"/>
    <x v="3"/>
    <s v="Customer_35"/>
    <x v="12"/>
    <n v="3310"/>
    <n v="1.06"/>
    <n v="3508.6"/>
    <n v="0.77"/>
    <n v="2548.6999999999998"/>
    <x v="596"/>
  </r>
  <r>
    <n v="600"/>
    <s v="2024-04-17"/>
    <x v="10"/>
    <n v="2024"/>
    <x v="2"/>
    <x v="2"/>
    <s v="Customer_47"/>
    <x v="13"/>
    <n v="2790"/>
    <n v="1.1200000000000001"/>
    <n v="3124.8"/>
    <n v="0.83"/>
    <n v="2315.6999999999998"/>
    <x v="597"/>
  </r>
  <r>
    <n v="601"/>
    <s v="2024-10-21"/>
    <x v="5"/>
    <n v="2024"/>
    <x v="0"/>
    <x v="1"/>
    <s v="Customer_93"/>
    <x v="0"/>
    <n v="2431"/>
    <n v="1.19"/>
    <n v="2892.89"/>
    <n v="0.97"/>
    <n v="2358.0700000000002"/>
    <x v="598"/>
  </r>
  <r>
    <n v="602"/>
    <s v="2024-04-10"/>
    <x v="10"/>
    <n v="2024"/>
    <x v="3"/>
    <x v="1"/>
    <s v="Customer_61"/>
    <x v="1"/>
    <n v="1946"/>
    <n v="1.1000000000000001"/>
    <n v="2140.6"/>
    <n v="0.7"/>
    <n v="1362.2"/>
    <x v="599"/>
  </r>
  <r>
    <n v="603"/>
    <s v="2024-11-18"/>
    <x v="0"/>
    <n v="2024"/>
    <x v="1"/>
    <x v="3"/>
    <s v="Customer_39"/>
    <x v="0"/>
    <n v="890"/>
    <n v="1.08"/>
    <n v="961.2"/>
    <n v="0.83"/>
    <n v="738.7"/>
    <x v="600"/>
  </r>
  <r>
    <n v="604"/>
    <s v="2024-01-31"/>
    <x v="2"/>
    <n v="2024"/>
    <x v="2"/>
    <x v="1"/>
    <s v="Customer_61"/>
    <x v="17"/>
    <n v="4185"/>
    <n v="1.32"/>
    <n v="5524.2"/>
    <n v="0.88"/>
    <n v="3682.8"/>
    <x v="601"/>
  </r>
  <r>
    <n v="605"/>
    <s v="2024-07-03"/>
    <x v="6"/>
    <n v="2024"/>
    <x v="2"/>
    <x v="3"/>
    <s v="Customer_3"/>
    <x v="10"/>
    <n v="1493"/>
    <n v="1.05"/>
    <n v="1567.65"/>
    <n v="0.81"/>
    <n v="1209.33"/>
    <x v="602"/>
  </r>
  <r>
    <n v="606"/>
    <s v="2024-11-06"/>
    <x v="0"/>
    <n v="2024"/>
    <x v="3"/>
    <x v="1"/>
    <s v="Customer_100"/>
    <x v="11"/>
    <n v="3409"/>
    <n v="1.03"/>
    <n v="3511.27"/>
    <n v="0.75"/>
    <n v="2556.75"/>
    <x v="603"/>
  </r>
  <r>
    <n v="607"/>
    <s v="2024-08-16"/>
    <x v="9"/>
    <n v="2024"/>
    <x v="1"/>
    <x v="0"/>
    <s v="Customer_79"/>
    <x v="11"/>
    <n v="4299"/>
    <n v="1.24"/>
    <n v="5330.76"/>
    <n v="0.79"/>
    <n v="3396.21"/>
    <x v="604"/>
  </r>
  <r>
    <n v="608"/>
    <s v="2024-03-26"/>
    <x v="3"/>
    <n v="2024"/>
    <x v="1"/>
    <x v="3"/>
    <s v="Customer_81"/>
    <x v="18"/>
    <n v="3815"/>
    <n v="1.39"/>
    <n v="5302.85"/>
    <n v="0.86"/>
    <n v="3280.9"/>
    <x v="605"/>
  </r>
  <r>
    <n v="609"/>
    <s v="2024-03-23"/>
    <x v="3"/>
    <n v="2024"/>
    <x v="3"/>
    <x v="3"/>
    <s v="Customer_41"/>
    <x v="16"/>
    <n v="2886"/>
    <n v="1.3"/>
    <n v="3751.8"/>
    <n v="0.98"/>
    <n v="2828.28"/>
    <x v="606"/>
  </r>
  <r>
    <n v="610"/>
    <s v="2024-07-21"/>
    <x v="6"/>
    <n v="2024"/>
    <x v="1"/>
    <x v="3"/>
    <s v="Customer_100"/>
    <x v="4"/>
    <n v="4767"/>
    <n v="1.48"/>
    <n v="7055.16"/>
    <n v="1.04"/>
    <n v="4957.68"/>
    <x v="607"/>
  </r>
  <r>
    <n v="611"/>
    <s v="2024-04-04"/>
    <x v="10"/>
    <n v="2024"/>
    <x v="3"/>
    <x v="0"/>
    <s v="Customer_94"/>
    <x v="6"/>
    <n v="2561"/>
    <n v="1.46"/>
    <n v="3739.06"/>
    <n v="1.1299999999999999"/>
    <n v="2893.93"/>
    <x v="608"/>
  </r>
  <r>
    <n v="612"/>
    <s v="2024-02-10"/>
    <x v="4"/>
    <n v="2024"/>
    <x v="3"/>
    <x v="1"/>
    <s v="Customer_51"/>
    <x v="17"/>
    <n v="1282"/>
    <n v="0.84"/>
    <n v="1076.8800000000001"/>
    <n v="0.69"/>
    <n v="884.58"/>
    <x v="609"/>
  </r>
  <r>
    <n v="613"/>
    <s v="2024-10-07"/>
    <x v="5"/>
    <n v="2024"/>
    <x v="0"/>
    <x v="0"/>
    <s v="Customer_99"/>
    <x v="13"/>
    <n v="4792"/>
    <n v="1.34"/>
    <n v="6421.28"/>
    <n v="0.83"/>
    <n v="3977.36"/>
    <x v="610"/>
  </r>
  <r>
    <n v="614"/>
    <s v="2024-05-14"/>
    <x v="7"/>
    <n v="2024"/>
    <x v="0"/>
    <x v="1"/>
    <s v="Customer_84"/>
    <x v="13"/>
    <n v="3034"/>
    <n v="0.96"/>
    <n v="2912.64"/>
    <n v="0.75"/>
    <n v="2275.5"/>
    <x v="611"/>
  </r>
  <r>
    <n v="615"/>
    <s v="2024-08-14"/>
    <x v="9"/>
    <n v="2024"/>
    <x v="3"/>
    <x v="1"/>
    <s v="Customer_68"/>
    <x v="9"/>
    <n v="734"/>
    <n v="0.82"/>
    <n v="601.88"/>
    <n v="0.56999999999999995"/>
    <n v="418.38"/>
    <x v="612"/>
  </r>
  <r>
    <n v="616"/>
    <s v="2024-06-15"/>
    <x v="8"/>
    <n v="2024"/>
    <x v="1"/>
    <x v="2"/>
    <s v="Customer_70"/>
    <x v="0"/>
    <n v="4993"/>
    <n v="1.1100000000000001"/>
    <n v="5542.23"/>
    <n v="0.94"/>
    <n v="4693.42"/>
    <x v="613"/>
  </r>
  <r>
    <n v="617"/>
    <s v="2024-12-23"/>
    <x v="1"/>
    <n v="2024"/>
    <x v="1"/>
    <x v="1"/>
    <s v="Customer_81"/>
    <x v="8"/>
    <n v="4063"/>
    <n v="1.17"/>
    <n v="4753.71"/>
    <n v="0.89"/>
    <n v="3616.07"/>
    <x v="217"/>
  </r>
  <r>
    <n v="618"/>
    <s v="2024-06-07"/>
    <x v="8"/>
    <n v="2024"/>
    <x v="1"/>
    <x v="3"/>
    <s v="Customer_70"/>
    <x v="6"/>
    <n v="1233"/>
    <n v="1.1100000000000001"/>
    <n v="1368.63"/>
    <n v="0.77"/>
    <n v="949.41"/>
    <x v="614"/>
  </r>
  <r>
    <n v="619"/>
    <s v="2024-05-13"/>
    <x v="7"/>
    <n v="2024"/>
    <x v="2"/>
    <x v="1"/>
    <s v="Customer_2"/>
    <x v="1"/>
    <n v="4787"/>
    <n v="1.37"/>
    <n v="6558.19"/>
    <n v="1.1100000000000001"/>
    <n v="5313.57"/>
    <x v="615"/>
  </r>
  <r>
    <n v="620"/>
    <s v="2024-06-25"/>
    <x v="8"/>
    <n v="2024"/>
    <x v="1"/>
    <x v="3"/>
    <s v="Customer_69"/>
    <x v="1"/>
    <n v="4529"/>
    <n v="1.46"/>
    <n v="6612.34"/>
    <n v="1.05"/>
    <n v="4755.45"/>
    <x v="616"/>
  </r>
  <r>
    <n v="621"/>
    <s v="2024-01-05"/>
    <x v="2"/>
    <n v="2024"/>
    <x v="2"/>
    <x v="2"/>
    <s v="Customer_77"/>
    <x v="6"/>
    <n v="559"/>
    <n v="1.18"/>
    <n v="659.62"/>
    <n v="0.76"/>
    <n v="424.84"/>
    <x v="617"/>
  </r>
  <r>
    <n v="622"/>
    <s v="2024-10-14"/>
    <x v="5"/>
    <n v="2024"/>
    <x v="1"/>
    <x v="2"/>
    <s v="Customer_32"/>
    <x v="9"/>
    <n v="3692"/>
    <n v="1.38"/>
    <n v="5094.96"/>
    <n v="0.9"/>
    <n v="3322.8"/>
    <x v="618"/>
  </r>
  <r>
    <n v="623"/>
    <s v="2024-02-10"/>
    <x v="4"/>
    <n v="2024"/>
    <x v="3"/>
    <x v="2"/>
    <s v="Customer_67"/>
    <x v="18"/>
    <n v="2727"/>
    <n v="1"/>
    <n v="2727"/>
    <n v="0.79"/>
    <n v="2154.33"/>
    <x v="619"/>
  </r>
  <r>
    <n v="624"/>
    <s v="2024-05-17"/>
    <x v="7"/>
    <n v="2024"/>
    <x v="3"/>
    <x v="2"/>
    <s v="Customer_9"/>
    <x v="9"/>
    <n v="1619"/>
    <n v="1"/>
    <n v="1619"/>
    <n v="0.76"/>
    <n v="1230.44"/>
    <x v="620"/>
  </r>
  <r>
    <n v="625"/>
    <s v="2024-11-12"/>
    <x v="0"/>
    <n v="2024"/>
    <x v="2"/>
    <x v="2"/>
    <s v="Customer_90"/>
    <x v="18"/>
    <n v="4530"/>
    <n v="0.93"/>
    <n v="4212.8999999999996"/>
    <n v="0.56000000000000005"/>
    <n v="2536.8000000000002"/>
    <x v="621"/>
  </r>
  <r>
    <n v="626"/>
    <s v="2024-01-26"/>
    <x v="2"/>
    <n v="2024"/>
    <x v="3"/>
    <x v="0"/>
    <s v="Customer_14"/>
    <x v="11"/>
    <n v="2705"/>
    <n v="0.89"/>
    <n v="2407.4499999999998"/>
    <n v="0.63"/>
    <n v="1704.15"/>
    <x v="622"/>
  </r>
  <r>
    <n v="627"/>
    <s v="2024-01-05"/>
    <x v="2"/>
    <n v="2024"/>
    <x v="0"/>
    <x v="1"/>
    <s v="Customer_20"/>
    <x v="1"/>
    <n v="4543"/>
    <n v="0.95"/>
    <n v="4315.8500000000004"/>
    <n v="0.67"/>
    <n v="3043.81"/>
    <x v="623"/>
  </r>
  <r>
    <n v="628"/>
    <s v="2024-09-12"/>
    <x v="11"/>
    <n v="2024"/>
    <x v="1"/>
    <x v="3"/>
    <s v="Customer_90"/>
    <x v="7"/>
    <n v="3205"/>
    <n v="0.86"/>
    <n v="2756.3"/>
    <n v="0.68"/>
    <n v="2179.4"/>
    <x v="624"/>
  </r>
  <r>
    <n v="629"/>
    <s v="2024-03-15"/>
    <x v="3"/>
    <n v="2024"/>
    <x v="2"/>
    <x v="0"/>
    <s v="Customer_100"/>
    <x v="13"/>
    <n v="1084"/>
    <n v="1.18"/>
    <n v="1279.1199999999999"/>
    <n v="0.76"/>
    <n v="823.84"/>
    <x v="625"/>
  </r>
  <r>
    <n v="630"/>
    <s v="2024-05-08"/>
    <x v="7"/>
    <n v="2024"/>
    <x v="0"/>
    <x v="2"/>
    <s v="Customer_16"/>
    <x v="6"/>
    <n v="3652"/>
    <n v="1.34"/>
    <n v="4893.68"/>
    <n v="0.95"/>
    <n v="3469.4"/>
    <x v="626"/>
  </r>
  <r>
    <n v="631"/>
    <s v="2024-01-18"/>
    <x v="2"/>
    <n v="2024"/>
    <x v="1"/>
    <x v="1"/>
    <s v="Customer_95"/>
    <x v="17"/>
    <n v="4769"/>
    <n v="1.27"/>
    <n v="6056.63"/>
    <n v="0.83"/>
    <n v="3958.27"/>
    <x v="627"/>
  </r>
  <r>
    <n v="632"/>
    <s v="2024-07-18"/>
    <x v="6"/>
    <n v="2024"/>
    <x v="2"/>
    <x v="3"/>
    <s v="Customer_21"/>
    <x v="7"/>
    <n v="4767"/>
    <n v="0.89"/>
    <n v="4242.63"/>
    <n v="0.64"/>
    <n v="3050.88"/>
    <x v="628"/>
  </r>
  <r>
    <n v="633"/>
    <s v="2024-06-01"/>
    <x v="8"/>
    <n v="2024"/>
    <x v="2"/>
    <x v="1"/>
    <s v="Customer_7"/>
    <x v="14"/>
    <n v="1425"/>
    <n v="0.97"/>
    <n v="1382.25"/>
    <n v="0.69"/>
    <n v="983.25"/>
    <x v="629"/>
  </r>
  <r>
    <n v="634"/>
    <s v="2024-01-08"/>
    <x v="2"/>
    <n v="2024"/>
    <x v="2"/>
    <x v="1"/>
    <s v="Customer_75"/>
    <x v="17"/>
    <n v="3742"/>
    <n v="1.35"/>
    <n v="5051.7"/>
    <n v="0.81"/>
    <n v="3031.02"/>
    <x v="630"/>
  </r>
  <r>
    <n v="635"/>
    <s v="2024-01-22"/>
    <x v="2"/>
    <n v="2024"/>
    <x v="3"/>
    <x v="2"/>
    <s v="Customer_48"/>
    <x v="15"/>
    <n v="2537"/>
    <n v="0.91"/>
    <n v="2308.67"/>
    <n v="0.56999999999999995"/>
    <n v="1446.09"/>
    <x v="631"/>
  </r>
  <r>
    <n v="636"/>
    <s v="2024-11-12"/>
    <x v="0"/>
    <n v="2024"/>
    <x v="0"/>
    <x v="3"/>
    <s v="Customer_8"/>
    <x v="4"/>
    <n v="1760"/>
    <n v="1.29"/>
    <n v="2270.4"/>
    <n v="1.03"/>
    <n v="1812.8"/>
    <x v="632"/>
  </r>
  <r>
    <n v="637"/>
    <s v="2024-03-05"/>
    <x v="3"/>
    <n v="2024"/>
    <x v="3"/>
    <x v="2"/>
    <s v="Customer_41"/>
    <x v="5"/>
    <n v="3345"/>
    <n v="1.36"/>
    <n v="4549.2"/>
    <n v="0.97"/>
    <n v="3244.65"/>
    <x v="633"/>
  </r>
  <r>
    <n v="638"/>
    <s v="2024-04-08"/>
    <x v="10"/>
    <n v="2024"/>
    <x v="1"/>
    <x v="0"/>
    <s v="Customer_46"/>
    <x v="3"/>
    <n v="2553"/>
    <n v="1.43"/>
    <n v="3650.79"/>
    <n v="1.03"/>
    <n v="2629.59"/>
    <x v="634"/>
  </r>
  <r>
    <n v="639"/>
    <s v="2024-08-12"/>
    <x v="9"/>
    <n v="2024"/>
    <x v="1"/>
    <x v="3"/>
    <s v="Customer_25"/>
    <x v="8"/>
    <n v="2028"/>
    <n v="1.18"/>
    <n v="2393.04"/>
    <n v="0.8"/>
    <n v="1622.4"/>
    <x v="635"/>
  </r>
  <r>
    <n v="640"/>
    <s v="2024-08-27"/>
    <x v="9"/>
    <n v="2024"/>
    <x v="3"/>
    <x v="3"/>
    <s v="Customer_9"/>
    <x v="19"/>
    <n v="1769"/>
    <n v="1.1100000000000001"/>
    <n v="1963.59"/>
    <n v="0.89"/>
    <n v="1574.41"/>
    <x v="636"/>
  </r>
  <r>
    <n v="641"/>
    <s v="2024-10-04"/>
    <x v="5"/>
    <n v="2024"/>
    <x v="1"/>
    <x v="3"/>
    <s v="Customer_1"/>
    <x v="19"/>
    <n v="3605"/>
    <n v="1.31"/>
    <n v="4722.55"/>
    <n v="1.08"/>
    <n v="3893.4"/>
    <x v="637"/>
  </r>
  <r>
    <n v="642"/>
    <s v="2024-11-13"/>
    <x v="0"/>
    <n v="2024"/>
    <x v="3"/>
    <x v="3"/>
    <s v="Customer_42"/>
    <x v="15"/>
    <n v="4915"/>
    <n v="1.37"/>
    <n v="6733.55"/>
    <n v="0.89"/>
    <n v="4374.3500000000004"/>
    <x v="638"/>
  </r>
  <r>
    <n v="643"/>
    <s v="2024-12-15"/>
    <x v="1"/>
    <n v="2024"/>
    <x v="3"/>
    <x v="2"/>
    <s v="Customer_79"/>
    <x v="11"/>
    <n v="3142"/>
    <n v="1.0900000000000001"/>
    <n v="3424.78"/>
    <n v="0.74"/>
    <n v="2325.08"/>
    <x v="639"/>
  </r>
  <r>
    <n v="644"/>
    <s v="2024-02-19"/>
    <x v="4"/>
    <n v="2024"/>
    <x v="0"/>
    <x v="0"/>
    <s v="Customer_17"/>
    <x v="9"/>
    <n v="756"/>
    <n v="0.94"/>
    <n v="710.64"/>
    <n v="0.68"/>
    <n v="514.08000000000004"/>
    <x v="640"/>
  </r>
  <r>
    <n v="645"/>
    <s v="2024-02-20"/>
    <x v="4"/>
    <n v="2024"/>
    <x v="1"/>
    <x v="0"/>
    <s v="Customer_85"/>
    <x v="12"/>
    <n v="4807"/>
    <n v="1.24"/>
    <n v="5960.68"/>
    <n v="0.93"/>
    <n v="4470.51"/>
    <x v="641"/>
  </r>
  <r>
    <n v="646"/>
    <s v="2024-01-26"/>
    <x v="2"/>
    <n v="2024"/>
    <x v="3"/>
    <x v="3"/>
    <s v="Customer_78"/>
    <x v="15"/>
    <n v="607"/>
    <n v="1.45"/>
    <n v="880.15"/>
    <n v="0.95"/>
    <n v="576.65"/>
    <x v="642"/>
  </r>
  <r>
    <n v="647"/>
    <s v="2024-09-08"/>
    <x v="11"/>
    <n v="2024"/>
    <x v="1"/>
    <x v="0"/>
    <s v="Customer_82"/>
    <x v="7"/>
    <n v="3456"/>
    <n v="1.19"/>
    <n v="4112.6400000000003"/>
    <n v="0.99"/>
    <n v="3421.44"/>
    <x v="643"/>
  </r>
  <r>
    <n v="648"/>
    <s v="2024-07-31"/>
    <x v="6"/>
    <n v="2024"/>
    <x v="0"/>
    <x v="3"/>
    <s v="Customer_79"/>
    <x v="0"/>
    <n v="4833"/>
    <n v="0.83"/>
    <n v="4011.39"/>
    <n v="0.51"/>
    <n v="2464.83"/>
    <x v="644"/>
  </r>
  <r>
    <n v="649"/>
    <s v="2024-06-04"/>
    <x v="8"/>
    <n v="2024"/>
    <x v="3"/>
    <x v="0"/>
    <s v="Customer_67"/>
    <x v="17"/>
    <n v="1329"/>
    <n v="1.31"/>
    <n v="1740.99"/>
    <n v="0.96"/>
    <n v="1275.8399999999999"/>
    <x v="645"/>
  </r>
  <r>
    <n v="650"/>
    <s v="2024-04-07"/>
    <x v="10"/>
    <n v="2024"/>
    <x v="3"/>
    <x v="1"/>
    <s v="Customer_73"/>
    <x v="9"/>
    <n v="3901"/>
    <n v="1.32"/>
    <n v="5149.32"/>
    <n v="1.04"/>
    <n v="4057.04"/>
    <x v="646"/>
  </r>
  <r>
    <n v="651"/>
    <s v="2024-10-22"/>
    <x v="5"/>
    <n v="2024"/>
    <x v="1"/>
    <x v="3"/>
    <s v="Customer_90"/>
    <x v="10"/>
    <n v="1352"/>
    <n v="0.92"/>
    <n v="1243.8399999999999"/>
    <n v="0.59"/>
    <n v="797.68"/>
    <x v="647"/>
  </r>
  <r>
    <n v="652"/>
    <s v="2024-07-24"/>
    <x v="6"/>
    <n v="2024"/>
    <x v="3"/>
    <x v="3"/>
    <s v="Customer_69"/>
    <x v="18"/>
    <n v="4129"/>
    <n v="1.45"/>
    <n v="5987.05"/>
    <n v="1.2"/>
    <n v="4954.8"/>
    <x v="648"/>
  </r>
  <r>
    <n v="653"/>
    <s v="2024-10-08"/>
    <x v="5"/>
    <n v="2024"/>
    <x v="2"/>
    <x v="3"/>
    <s v="Customer_53"/>
    <x v="10"/>
    <n v="3149"/>
    <n v="1.23"/>
    <n v="3873.27"/>
    <n v="0.91"/>
    <n v="2865.59"/>
    <x v="649"/>
  </r>
  <r>
    <n v="654"/>
    <s v="2024-04-19"/>
    <x v="10"/>
    <n v="2024"/>
    <x v="2"/>
    <x v="2"/>
    <s v="Customer_47"/>
    <x v="2"/>
    <n v="4165"/>
    <n v="1.47"/>
    <n v="6122.55"/>
    <n v="0.88"/>
    <n v="3665.2"/>
    <x v="650"/>
  </r>
  <r>
    <n v="655"/>
    <s v="2024-01-18"/>
    <x v="2"/>
    <n v="2024"/>
    <x v="0"/>
    <x v="3"/>
    <s v="Customer_67"/>
    <x v="3"/>
    <n v="2972"/>
    <n v="0.8"/>
    <n v="2377.6"/>
    <n v="0.68"/>
    <n v="2020.96"/>
    <x v="651"/>
  </r>
  <r>
    <n v="656"/>
    <s v="2024-04-19"/>
    <x v="10"/>
    <n v="2024"/>
    <x v="0"/>
    <x v="3"/>
    <s v="Customer_99"/>
    <x v="0"/>
    <n v="4688"/>
    <n v="1.19"/>
    <n v="5578.72"/>
    <n v="0.99"/>
    <n v="4641.12"/>
    <x v="652"/>
  </r>
  <r>
    <n v="657"/>
    <s v="2024-03-20"/>
    <x v="3"/>
    <n v="2024"/>
    <x v="0"/>
    <x v="0"/>
    <s v="Customer_59"/>
    <x v="4"/>
    <n v="1778"/>
    <n v="0.9"/>
    <n v="1600.2"/>
    <n v="0.62"/>
    <n v="1102.3599999999999"/>
    <x v="653"/>
  </r>
  <r>
    <n v="658"/>
    <s v="2024-10-25"/>
    <x v="5"/>
    <n v="2024"/>
    <x v="3"/>
    <x v="1"/>
    <s v="Customer_33"/>
    <x v="11"/>
    <n v="1252"/>
    <n v="1.2"/>
    <n v="1502.4"/>
    <n v="0.89"/>
    <n v="1114.28"/>
    <x v="654"/>
  </r>
  <r>
    <n v="659"/>
    <s v="2024-04-21"/>
    <x v="10"/>
    <n v="2024"/>
    <x v="2"/>
    <x v="0"/>
    <s v="Customer_62"/>
    <x v="9"/>
    <n v="4499"/>
    <n v="1.38"/>
    <n v="6208.62"/>
    <n v="1.07"/>
    <n v="4813.93"/>
    <x v="655"/>
  </r>
  <r>
    <n v="660"/>
    <s v="2024-10-22"/>
    <x v="5"/>
    <n v="2024"/>
    <x v="2"/>
    <x v="0"/>
    <s v="Customer_5"/>
    <x v="8"/>
    <n v="3625"/>
    <n v="0.85"/>
    <n v="3081.25"/>
    <n v="0.52"/>
    <n v="1885"/>
    <x v="656"/>
  </r>
  <r>
    <n v="661"/>
    <s v="2024-06-20"/>
    <x v="8"/>
    <n v="2024"/>
    <x v="1"/>
    <x v="3"/>
    <s v="Customer_54"/>
    <x v="17"/>
    <n v="2357"/>
    <n v="1.32"/>
    <n v="3111.24"/>
    <n v="1.07"/>
    <n v="2521.9899999999998"/>
    <x v="657"/>
  </r>
  <r>
    <n v="662"/>
    <s v="2024-01-06"/>
    <x v="2"/>
    <n v="2024"/>
    <x v="0"/>
    <x v="2"/>
    <s v="Customer_40"/>
    <x v="19"/>
    <n v="837"/>
    <n v="1.02"/>
    <n v="853.74"/>
    <n v="0.76"/>
    <n v="636.12"/>
    <x v="658"/>
  </r>
  <r>
    <n v="663"/>
    <s v="2024-06-16"/>
    <x v="8"/>
    <n v="2024"/>
    <x v="3"/>
    <x v="1"/>
    <s v="Customer_7"/>
    <x v="13"/>
    <n v="4150"/>
    <n v="1.33"/>
    <n v="5519.5"/>
    <n v="0.99"/>
    <n v="4108.5"/>
    <x v="659"/>
  </r>
  <r>
    <n v="664"/>
    <s v="2024-02-16"/>
    <x v="4"/>
    <n v="2024"/>
    <x v="1"/>
    <x v="1"/>
    <s v="Customer_38"/>
    <x v="13"/>
    <n v="1712"/>
    <n v="0.89"/>
    <n v="1523.68"/>
    <n v="0.55000000000000004"/>
    <n v="941.6"/>
    <x v="660"/>
  </r>
  <r>
    <n v="665"/>
    <s v="2024-10-19"/>
    <x v="5"/>
    <n v="2024"/>
    <x v="1"/>
    <x v="0"/>
    <s v="Customer_34"/>
    <x v="15"/>
    <n v="3764"/>
    <n v="1.1499999999999999"/>
    <n v="4328.6000000000004"/>
    <n v="0.91"/>
    <n v="3425.24"/>
    <x v="661"/>
  </r>
  <r>
    <n v="666"/>
    <s v="2024-03-07"/>
    <x v="3"/>
    <n v="2024"/>
    <x v="1"/>
    <x v="1"/>
    <s v="Customer_72"/>
    <x v="14"/>
    <n v="4496"/>
    <n v="1.08"/>
    <n v="4855.68"/>
    <n v="0.8"/>
    <n v="3596.8"/>
    <x v="662"/>
  </r>
  <r>
    <n v="667"/>
    <s v="2024-10-14"/>
    <x v="5"/>
    <n v="2024"/>
    <x v="3"/>
    <x v="1"/>
    <s v="Customer_10"/>
    <x v="0"/>
    <n v="4023"/>
    <n v="1.03"/>
    <n v="4143.6899999999996"/>
    <n v="0.86"/>
    <n v="3459.78"/>
    <x v="663"/>
  </r>
  <r>
    <n v="668"/>
    <s v="2024-02-15"/>
    <x v="4"/>
    <n v="2024"/>
    <x v="1"/>
    <x v="0"/>
    <s v="Customer_55"/>
    <x v="4"/>
    <n v="3353"/>
    <n v="0.93"/>
    <n v="3118.29"/>
    <n v="0.64"/>
    <n v="2145.92"/>
    <x v="664"/>
  </r>
  <r>
    <n v="669"/>
    <s v="2024-12-01"/>
    <x v="1"/>
    <n v="2024"/>
    <x v="2"/>
    <x v="0"/>
    <s v="Customer_22"/>
    <x v="4"/>
    <n v="4122"/>
    <n v="1.24"/>
    <n v="5111.28"/>
    <n v="0.88"/>
    <n v="3627.36"/>
    <x v="665"/>
  </r>
  <r>
    <n v="670"/>
    <s v="2024-04-29"/>
    <x v="10"/>
    <n v="2024"/>
    <x v="2"/>
    <x v="1"/>
    <s v="Customer_20"/>
    <x v="15"/>
    <n v="1420"/>
    <n v="1.32"/>
    <n v="1874.4"/>
    <n v="0.87"/>
    <n v="1235.4000000000001"/>
    <x v="666"/>
  </r>
  <r>
    <n v="671"/>
    <s v="2024-11-13"/>
    <x v="0"/>
    <n v="2024"/>
    <x v="2"/>
    <x v="1"/>
    <s v="Customer_2"/>
    <x v="16"/>
    <n v="1411"/>
    <n v="1.01"/>
    <n v="1425.11"/>
    <n v="0.72"/>
    <n v="1015.92"/>
    <x v="667"/>
  </r>
  <r>
    <n v="672"/>
    <s v="2024-06-18"/>
    <x v="8"/>
    <n v="2024"/>
    <x v="3"/>
    <x v="1"/>
    <s v="Customer_27"/>
    <x v="5"/>
    <n v="4786"/>
    <n v="1.33"/>
    <n v="6365.38"/>
    <n v="0.98"/>
    <n v="4690.28"/>
    <x v="668"/>
  </r>
  <r>
    <n v="673"/>
    <s v="2024-11-14"/>
    <x v="0"/>
    <n v="2024"/>
    <x v="0"/>
    <x v="1"/>
    <s v="Customer_49"/>
    <x v="8"/>
    <n v="4815"/>
    <n v="0.83"/>
    <n v="3996.45"/>
    <n v="0.53"/>
    <n v="2551.9499999999998"/>
    <x v="669"/>
  </r>
  <r>
    <n v="674"/>
    <s v="2024-05-25"/>
    <x v="7"/>
    <n v="2024"/>
    <x v="2"/>
    <x v="1"/>
    <s v="Customer_7"/>
    <x v="2"/>
    <n v="568"/>
    <n v="0.85"/>
    <n v="482.8"/>
    <n v="0.65"/>
    <n v="369.2"/>
    <x v="670"/>
  </r>
  <r>
    <n v="675"/>
    <s v="2024-12-05"/>
    <x v="1"/>
    <n v="2024"/>
    <x v="0"/>
    <x v="3"/>
    <s v="Customer_3"/>
    <x v="11"/>
    <n v="3666"/>
    <n v="0.96"/>
    <n v="3519.36"/>
    <n v="0.67"/>
    <n v="2456.2199999999998"/>
    <x v="671"/>
  </r>
  <r>
    <n v="676"/>
    <s v="2024-12-29"/>
    <x v="1"/>
    <n v="2024"/>
    <x v="2"/>
    <x v="0"/>
    <s v="Customer_63"/>
    <x v="18"/>
    <n v="4854"/>
    <n v="0.86"/>
    <n v="4174.4399999999996"/>
    <n v="0.56000000000000005"/>
    <n v="2718.24"/>
    <x v="672"/>
  </r>
  <r>
    <n v="677"/>
    <s v="2024-08-22"/>
    <x v="9"/>
    <n v="2024"/>
    <x v="0"/>
    <x v="0"/>
    <s v="Customer_32"/>
    <x v="19"/>
    <n v="2997"/>
    <n v="1.03"/>
    <n v="3086.91"/>
    <n v="0.72"/>
    <n v="2157.84"/>
    <x v="673"/>
  </r>
  <r>
    <n v="678"/>
    <s v="2024-03-21"/>
    <x v="3"/>
    <n v="2024"/>
    <x v="2"/>
    <x v="0"/>
    <s v="Customer_88"/>
    <x v="4"/>
    <n v="3411"/>
    <n v="1.24"/>
    <n v="4229.6400000000003"/>
    <n v="0.82"/>
    <n v="2797.02"/>
    <x v="674"/>
  </r>
  <r>
    <n v="679"/>
    <s v="2024-09-13"/>
    <x v="11"/>
    <n v="2024"/>
    <x v="0"/>
    <x v="3"/>
    <s v="Customer_81"/>
    <x v="0"/>
    <n v="3671"/>
    <n v="1.42"/>
    <n v="5212.82"/>
    <n v="1.1399999999999999"/>
    <n v="4184.9399999999996"/>
    <x v="675"/>
  </r>
  <r>
    <n v="680"/>
    <s v="2024-01-16"/>
    <x v="2"/>
    <n v="2024"/>
    <x v="3"/>
    <x v="3"/>
    <s v="Customer_20"/>
    <x v="16"/>
    <n v="3718"/>
    <n v="1.26"/>
    <n v="4684.68"/>
    <n v="0.78"/>
    <n v="2900.04"/>
    <x v="676"/>
  </r>
  <r>
    <n v="681"/>
    <s v="2024-07-14"/>
    <x v="6"/>
    <n v="2024"/>
    <x v="1"/>
    <x v="1"/>
    <s v="Customer_31"/>
    <x v="8"/>
    <n v="1751"/>
    <n v="1.1000000000000001"/>
    <n v="1926.1"/>
    <n v="0.75"/>
    <n v="1313.25"/>
    <x v="677"/>
  </r>
  <r>
    <n v="682"/>
    <s v="2024-11-05"/>
    <x v="0"/>
    <n v="2024"/>
    <x v="1"/>
    <x v="3"/>
    <s v="Customer_70"/>
    <x v="3"/>
    <n v="2193"/>
    <n v="1.26"/>
    <n v="2763.18"/>
    <n v="0.94"/>
    <n v="2061.42"/>
    <x v="678"/>
  </r>
  <r>
    <n v="683"/>
    <s v="2024-12-16"/>
    <x v="1"/>
    <n v="2024"/>
    <x v="3"/>
    <x v="1"/>
    <s v="Customer_40"/>
    <x v="19"/>
    <n v="1607"/>
    <n v="1.1000000000000001"/>
    <n v="1767.7"/>
    <n v="0.91"/>
    <n v="1462.37"/>
    <x v="679"/>
  </r>
  <r>
    <n v="684"/>
    <s v="2024-03-15"/>
    <x v="3"/>
    <n v="2024"/>
    <x v="2"/>
    <x v="1"/>
    <s v="Customer_9"/>
    <x v="5"/>
    <n v="4866"/>
    <n v="1.46"/>
    <n v="7104.36"/>
    <n v="0.92"/>
    <n v="4476.72"/>
    <x v="680"/>
  </r>
  <r>
    <n v="685"/>
    <s v="2024-06-11"/>
    <x v="8"/>
    <n v="2024"/>
    <x v="0"/>
    <x v="1"/>
    <s v="Customer_98"/>
    <x v="16"/>
    <n v="3891"/>
    <n v="1.47"/>
    <n v="5719.77"/>
    <n v="0.99"/>
    <n v="3852.09"/>
    <x v="681"/>
  </r>
  <r>
    <n v="686"/>
    <s v="2024-11-22"/>
    <x v="0"/>
    <n v="2024"/>
    <x v="3"/>
    <x v="3"/>
    <s v="Customer_100"/>
    <x v="14"/>
    <n v="1374"/>
    <n v="0.89"/>
    <n v="1222.8599999999999"/>
    <n v="0.54"/>
    <n v="741.96"/>
    <x v="682"/>
  </r>
  <r>
    <n v="687"/>
    <s v="2024-11-09"/>
    <x v="0"/>
    <n v="2024"/>
    <x v="3"/>
    <x v="3"/>
    <s v="Customer_77"/>
    <x v="6"/>
    <n v="2391"/>
    <n v="1.28"/>
    <n v="3060.48"/>
    <n v="0.88"/>
    <n v="2104.08"/>
    <x v="683"/>
  </r>
  <r>
    <n v="688"/>
    <s v="2024-12-18"/>
    <x v="1"/>
    <n v="2024"/>
    <x v="3"/>
    <x v="2"/>
    <s v="Customer_65"/>
    <x v="18"/>
    <n v="4340"/>
    <n v="1.3"/>
    <n v="5642"/>
    <n v="0.9"/>
    <n v="3906"/>
    <x v="684"/>
  </r>
  <r>
    <n v="689"/>
    <s v="2024-07-17"/>
    <x v="6"/>
    <n v="2024"/>
    <x v="1"/>
    <x v="2"/>
    <s v="Customer_18"/>
    <x v="9"/>
    <n v="2083"/>
    <n v="0.96"/>
    <n v="1999.68"/>
    <n v="0.67"/>
    <n v="1395.61"/>
    <x v="685"/>
  </r>
  <r>
    <n v="690"/>
    <s v="2024-01-08"/>
    <x v="2"/>
    <n v="2024"/>
    <x v="1"/>
    <x v="3"/>
    <s v="Customer_29"/>
    <x v="14"/>
    <n v="2175"/>
    <n v="0.85"/>
    <n v="1848.75"/>
    <n v="0.71"/>
    <n v="1544.25"/>
    <x v="686"/>
  </r>
  <r>
    <n v="691"/>
    <s v="2024-08-12"/>
    <x v="9"/>
    <n v="2024"/>
    <x v="2"/>
    <x v="2"/>
    <s v="Customer_59"/>
    <x v="6"/>
    <n v="4002"/>
    <n v="1.08"/>
    <n v="4322.16"/>
    <n v="0.66"/>
    <n v="2641.32"/>
    <x v="687"/>
  </r>
  <r>
    <n v="692"/>
    <s v="2024-07-13"/>
    <x v="6"/>
    <n v="2024"/>
    <x v="1"/>
    <x v="3"/>
    <s v="Customer_79"/>
    <x v="8"/>
    <n v="4892"/>
    <n v="1.17"/>
    <n v="5723.64"/>
    <n v="0.96"/>
    <n v="4696.32"/>
    <x v="688"/>
  </r>
  <r>
    <n v="693"/>
    <s v="2024-01-20"/>
    <x v="2"/>
    <n v="2024"/>
    <x v="1"/>
    <x v="0"/>
    <s v="Customer_59"/>
    <x v="7"/>
    <n v="2512"/>
    <n v="1.1599999999999999"/>
    <n v="2913.92"/>
    <n v="0.81"/>
    <n v="2034.72"/>
    <x v="689"/>
  </r>
  <r>
    <n v="694"/>
    <s v="2024-01-21"/>
    <x v="2"/>
    <n v="2024"/>
    <x v="0"/>
    <x v="2"/>
    <s v="Customer_25"/>
    <x v="11"/>
    <n v="4100"/>
    <n v="1.08"/>
    <n v="4428"/>
    <n v="0.73"/>
    <n v="2993"/>
    <x v="690"/>
  </r>
  <r>
    <n v="695"/>
    <s v="2024-05-26"/>
    <x v="7"/>
    <n v="2024"/>
    <x v="3"/>
    <x v="2"/>
    <s v="Customer_55"/>
    <x v="11"/>
    <n v="946"/>
    <n v="1.28"/>
    <n v="1210.8800000000001"/>
    <n v="1.06"/>
    <n v="1002.76"/>
    <x v="691"/>
  </r>
  <r>
    <n v="696"/>
    <s v="2024-08-25"/>
    <x v="9"/>
    <n v="2024"/>
    <x v="0"/>
    <x v="2"/>
    <s v="Customer_93"/>
    <x v="19"/>
    <n v="1427"/>
    <n v="0.93"/>
    <n v="1327.11"/>
    <n v="0.69"/>
    <n v="984.63"/>
    <x v="692"/>
  </r>
  <r>
    <n v="697"/>
    <s v="2024-12-22"/>
    <x v="1"/>
    <n v="2024"/>
    <x v="1"/>
    <x v="1"/>
    <s v="Customer_53"/>
    <x v="16"/>
    <n v="4193"/>
    <n v="0.82"/>
    <n v="3438.26"/>
    <n v="0.59"/>
    <n v="2473.87"/>
    <x v="693"/>
  </r>
  <r>
    <n v="698"/>
    <s v="2024-12-30"/>
    <x v="1"/>
    <n v="2024"/>
    <x v="1"/>
    <x v="1"/>
    <s v="Customer_12"/>
    <x v="0"/>
    <n v="3154"/>
    <n v="1.28"/>
    <n v="4037.12"/>
    <n v="1.06"/>
    <n v="3343.24"/>
    <x v="694"/>
  </r>
  <r>
    <n v="699"/>
    <s v="2024-03-24"/>
    <x v="3"/>
    <n v="2024"/>
    <x v="0"/>
    <x v="0"/>
    <s v="Customer_15"/>
    <x v="2"/>
    <n v="3473"/>
    <n v="0.86"/>
    <n v="2986.78"/>
    <n v="0.67"/>
    <n v="2326.91"/>
    <x v="695"/>
  </r>
  <r>
    <n v="700"/>
    <s v="2024-09-18"/>
    <x v="11"/>
    <n v="2024"/>
    <x v="1"/>
    <x v="1"/>
    <s v="Customer_71"/>
    <x v="13"/>
    <n v="859"/>
    <n v="1.34"/>
    <n v="1151.06"/>
    <n v="1.1100000000000001"/>
    <n v="953.49"/>
    <x v="696"/>
  </r>
  <r>
    <n v="701"/>
    <s v="2024-10-16"/>
    <x v="5"/>
    <n v="2024"/>
    <x v="3"/>
    <x v="1"/>
    <s v="Customer_19"/>
    <x v="9"/>
    <n v="920"/>
    <n v="1.0900000000000001"/>
    <n v="1002.8"/>
    <n v="0.74"/>
    <n v="680.8"/>
    <x v="697"/>
  </r>
  <r>
    <n v="702"/>
    <s v="2024-08-16"/>
    <x v="9"/>
    <n v="2024"/>
    <x v="3"/>
    <x v="3"/>
    <s v="Customer_16"/>
    <x v="3"/>
    <n v="2161"/>
    <n v="0.8"/>
    <n v="1728.8"/>
    <n v="0.63"/>
    <n v="1361.43"/>
    <x v="698"/>
  </r>
  <r>
    <n v="703"/>
    <s v="2024-01-07"/>
    <x v="2"/>
    <n v="2024"/>
    <x v="1"/>
    <x v="2"/>
    <s v="Customer_64"/>
    <x v="5"/>
    <n v="547"/>
    <n v="1.23"/>
    <n v="672.81"/>
    <n v="0.89"/>
    <n v="486.83"/>
    <x v="699"/>
  </r>
  <r>
    <n v="704"/>
    <s v="2024-04-21"/>
    <x v="10"/>
    <n v="2024"/>
    <x v="1"/>
    <x v="2"/>
    <s v="Customer_53"/>
    <x v="2"/>
    <n v="1150"/>
    <n v="1.22"/>
    <n v="1403"/>
    <n v="0.73"/>
    <n v="839.5"/>
    <x v="700"/>
  </r>
  <r>
    <n v="705"/>
    <s v="2024-10-07"/>
    <x v="5"/>
    <n v="2024"/>
    <x v="3"/>
    <x v="3"/>
    <s v="Customer_7"/>
    <x v="9"/>
    <n v="1714"/>
    <n v="0.84"/>
    <n v="1439.76"/>
    <n v="0.57999999999999996"/>
    <n v="994.12"/>
    <x v="701"/>
  </r>
  <r>
    <n v="706"/>
    <s v="2024-03-15"/>
    <x v="3"/>
    <n v="2024"/>
    <x v="2"/>
    <x v="0"/>
    <s v="Customer_43"/>
    <x v="15"/>
    <n v="901"/>
    <n v="0.88"/>
    <n v="792.88"/>
    <n v="0.75"/>
    <n v="675.75"/>
    <x v="702"/>
  </r>
  <r>
    <n v="707"/>
    <s v="2024-03-23"/>
    <x v="3"/>
    <n v="2024"/>
    <x v="3"/>
    <x v="3"/>
    <s v="Customer_59"/>
    <x v="8"/>
    <n v="3450"/>
    <n v="1.45"/>
    <n v="5002.5"/>
    <n v="0.9"/>
    <n v="3105"/>
    <x v="703"/>
  </r>
  <r>
    <n v="708"/>
    <s v="2024-06-02"/>
    <x v="8"/>
    <n v="2024"/>
    <x v="2"/>
    <x v="3"/>
    <s v="Customer_49"/>
    <x v="15"/>
    <n v="4000"/>
    <n v="1.39"/>
    <n v="5560"/>
    <n v="0.86"/>
    <n v="3440"/>
    <x v="704"/>
  </r>
  <r>
    <n v="709"/>
    <s v="2024-08-29"/>
    <x v="9"/>
    <n v="2024"/>
    <x v="0"/>
    <x v="1"/>
    <s v="Customer_89"/>
    <x v="0"/>
    <n v="3196"/>
    <n v="1.17"/>
    <n v="3739.32"/>
    <n v="0.86"/>
    <n v="2748.56"/>
    <x v="705"/>
  </r>
  <r>
    <n v="710"/>
    <s v="2024-12-22"/>
    <x v="1"/>
    <n v="2024"/>
    <x v="0"/>
    <x v="1"/>
    <s v="Customer_14"/>
    <x v="8"/>
    <n v="4833"/>
    <n v="1.49"/>
    <n v="7201.17"/>
    <n v="1.07"/>
    <n v="5171.3100000000004"/>
    <x v="706"/>
  </r>
  <r>
    <n v="711"/>
    <s v="2024-12-18"/>
    <x v="1"/>
    <n v="2024"/>
    <x v="1"/>
    <x v="3"/>
    <s v="Customer_78"/>
    <x v="16"/>
    <n v="2627"/>
    <n v="1.17"/>
    <n v="3073.59"/>
    <n v="0.99"/>
    <n v="2600.73"/>
    <x v="707"/>
  </r>
  <r>
    <n v="712"/>
    <s v="2024-06-30"/>
    <x v="8"/>
    <n v="2024"/>
    <x v="1"/>
    <x v="1"/>
    <s v="Customer_67"/>
    <x v="12"/>
    <n v="4534"/>
    <n v="1.37"/>
    <n v="6211.58"/>
    <n v="1.1200000000000001"/>
    <n v="5078.08"/>
    <x v="708"/>
  </r>
  <r>
    <n v="713"/>
    <s v="2024-04-29"/>
    <x v="10"/>
    <n v="2024"/>
    <x v="3"/>
    <x v="3"/>
    <s v="Customer_1"/>
    <x v="17"/>
    <n v="696"/>
    <n v="1.1299999999999999"/>
    <n v="786.48"/>
    <n v="0.9"/>
    <n v="626.4"/>
    <x v="709"/>
  </r>
  <r>
    <n v="714"/>
    <s v="2024-04-16"/>
    <x v="10"/>
    <n v="2024"/>
    <x v="1"/>
    <x v="2"/>
    <s v="Customer_6"/>
    <x v="16"/>
    <n v="3364"/>
    <n v="1.19"/>
    <n v="4003.16"/>
    <n v="0.9"/>
    <n v="3027.6"/>
    <x v="710"/>
  </r>
  <r>
    <n v="715"/>
    <s v="2024-01-06"/>
    <x v="2"/>
    <n v="2024"/>
    <x v="2"/>
    <x v="1"/>
    <s v="Customer_33"/>
    <x v="15"/>
    <n v="3021"/>
    <n v="1.01"/>
    <n v="3051.21"/>
    <n v="0.74"/>
    <n v="2235.54"/>
    <x v="711"/>
  </r>
  <r>
    <n v="716"/>
    <s v="2024-01-04"/>
    <x v="2"/>
    <n v="2024"/>
    <x v="2"/>
    <x v="0"/>
    <s v="Customer_44"/>
    <x v="13"/>
    <n v="738"/>
    <n v="1.38"/>
    <n v="1018.44"/>
    <n v="0.89"/>
    <n v="656.82"/>
    <x v="712"/>
  </r>
  <r>
    <n v="717"/>
    <s v="2024-06-22"/>
    <x v="8"/>
    <n v="2024"/>
    <x v="1"/>
    <x v="2"/>
    <s v="Customer_5"/>
    <x v="3"/>
    <n v="4444"/>
    <n v="0.91"/>
    <n v="4044.04"/>
    <n v="0.65"/>
    <n v="2888.6"/>
    <x v="713"/>
  </r>
  <r>
    <n v="718"/>
    <s v="2024-10-01"/>
    <x v="5"/>
    <n v="2024"/>
    <x v="1"/>
    <x v="3"/>
    <s v="Customer_53"/>
    <x v="7"/>
    <n v="4768"/>
    <n v="1.01"/>
    <n v="4815.68"/>
    <n v="0.79"/>
    <n v="3766.72"/>
    <x v="714"/>
  </r>
  <r>
    <n v="719"/>
    <s v="2024-06-10"/>
    <x v="8"/>
    <n v="2024"/>
    <x v="3"/>
    <x v="0"/>
    <s v="Customer_74"/>
    <x v="16"/>
    <n v="3396"/>
    <n v="0.85"/>
    <n v="2886.6"/>
    <n v="0.54"/>
    <n v="1833.84"/>
    <x v="715"/>
  </r>
  <r>
    <n v="720"/>
    <s v="2024-01-16"/>
    <x v="2"/>
    <n v="2024"/>
    <x v="1"/>
    <x v="3"/>
    <s v="Customer_81"/>
    <x v="5"/>
    <n v="1859"/>
    <n v="1.2"/>
    <n v="2230.8000000000002"/>
    <n v="0.84"/>
    <n v="1561.56"/>
    <x v="716"/>
  </r>
  <r>
    <n v="721"/>
    <s v="2024-10-31"/>
    <x v="5"/>
    <n v="2024"/>
    <x v="2"/>
    <x v="0"/>
    <s v="Customer_91"/>
    <x v="16"/>
    <n v="759"/>
    <n v="0.99"/>
    <n v="751.41"/>
    <n v="0.62"/>
    <n v="470.58"/>
    <x v="717"/>
  </r>
  <r>
    <n v="722"/>
    <s v="2024-05-01"/>
    <x v="7"/>
    <n v="2024"/>
    <x v="1"/>
    <x v="3"/>
    <s v="Customer_39"/>
    <x v="14"/>
    <n v="4801"/>
    <n v="1.01"/>
    <n v="4849.01"/>
    <n v="0.63"/>
    <n v="3024.63"/>
    <x v="718"/>
  </r>
  <r>
    <n v="723"/>
    <s v="2024-01-20"/>
    <x v="2"/>
    <n v="2024"/>
    <x v="0"/>
    <x v="1"/>
    <s v="Customer_57"/>
    <x v="19"/>
    <n v="704"/>
    <n v="1.36"/>
    <n v="957.44"/>
    <n v="1.1200000000000001"/>
    <n v="788.48"/>
    <x v="719"/>
  </r>
  <r>
    <n v="724"/>
    <s v="2024-03-19"/>
    <x v="3"/>
    <n v="2024"/>
    <x v="2"/>
    <x v="1"/>
    <s v="Customer_62"/>
    <x v="19"/>
    <n v="3042"/>
    <n v="1.34"/>
    <n v="4076.28"/>
    <n v="0.85"/>
    <n v="2585.6999999999998"/>
    <x v="720"/>
  </r>
  <r>
    <n v="725"/>
    <s v="2024-02-20"/>
    <x v="4"/>
    <n v="2024"/>
    <x v="3"/>
    <x v="1"/>
    <s v="Customer_93"/>
    <x v="7"/>
    <n v="4263"/>
    <n v="1.07"/>
    <n v="4561.41"/>
    <n v="0.87"/>
    <n v="3708.81"/>
    <x v="721"/>
  </r>
  <r>
    <n v="726"/>
    <s v="2024-02-29"/>
    <x v="4"/>
    <n v="2024"/>
    <x v="2"/>
    <x v="0"/>
    <s v="Customer_6"/>
    <x v="18"/>
    <n v="1213"/>
    <n v="1.03"/>
    <n v="1249.3900000000001"/>
    <n v="0.85"/>
    <n v="1031.05"/>
    <x v="722"/>
  </r>
  <r>
    <n v="727"/>
    <s v="2024-02-22"/>
    <x v="4"/>
    <n v="2024"/>
    <x v="0"/>
    <x v="3"/>
    <s v="Customer_74"/>
    <x v="11"/>
    <n v="2219"/>
    <n v="1.02"/>
    <n v="2263.38"/>
    <n v="0.66"/>
    <n v="1464.54"/>
    <x v="723"/>
  </r>
  <r>
    <n v="728"/>
    <s v="2024-05-21"/>
    <x v="7"/>
    <n v="2024"/>
    <x v="1"/>
    <x v="3"/>
    <s v="Customer_86"/>
    <x v="17"/>
    <n v="2733"/>
    <n v="0.9"/>
    <n v="2459.6999999999998"/>
    <n v="0.6"/>
    <n v="1639.8"/>
    <x v="724"/>
  </r>
  <r>
    <n v="729"/>
    <s v="2024-01-08"/>
    <x v="2"/>
    <n v="2024"/>
    <x v="3"/>
    <x v="0"/>
    <s v="Customer_70"/>
    <x v="4"/>
    <n v="5000"/>
    <n v="1.02"/>
    <n v="5100"/>
    <n v="0.65"/>
    <n v="3250"/>
    <x v="725"/>
  </r>
  <r>
    <n v="730"/>
    <s v="2024-12-26"/>
    <x v="1"/>
    <n v="2024"/>
    <x v="3"/>
    <x v="3"/>
    <s v="Customer_22"/>
    <x v="15"/>
    <n v="3050"/>
    <n v="1.23"/>
    <n v="3751.5"/>
    <n v="0.84"/>
    <n v="2562"/>
    <x v="726"/>
  </r>
  <r>
    <n v="731"/>
    <s v="2024-08-15"/>
    <x v="9"/>
    <n v="2024"/>
    <x v="3"/>
    <x v="0"/>
    <s v="Customer_4"/>
    <x v="12"/>
    <n v="913"/>
    <n v="0.87"/>
    <n v="794.31"/>
    <n v="0.53"/>
    <n v="483.89"/>
    <x v="727"/>
  </r>
  <r>
    <n v="732"/>
    <s v="2024-08-06"/>
    <x v="9"/>
    <n v="2024"/>
    <x v="3"/>
    <x v="2"/>
    <s v="Customer_91"/>
    <x v="18"/>
    <n v="4152"/>
    <n v="1.23"/>
    <n v="5106.96"/>
    <n v="0.83"/>
    <n v="3446.16"/>
    <x v="728"/>
  </r>
  <r>
    <n v="733"/>
    <s v="2024-04-11"/>
    <x v="10"/>
    <n v="2024"/>
    <x v="1"/>
    <x v="0"/>
    <s v="Customer_73"/>
    <x v="3"/>
    <n v="1261"/>
    <n v="1.37"/>
    <n v="1727.57"/>
    <n v="1.1399999999999999"/>
    <n v="1437.54"/>
    <x v="729"/>
  </r>
  <r>
    <n v="734"/>
    <s v="2024-08-27"/>
    <x v="9"/>
    <n v="2024"/>
    <x v="1"/>
    <x v="0"/>
    <s v="Customer_40"/>
    <x v="2"/>
    <n v="4354"/>
    <n v="0.96"/>
    <n v="4179.84"/>
    <n v="0.63"/>
    <n v="2743.02"/>
    <x v="730"/>
  </r>
  <r>
    <n v="735"/>
    <s v="2024-11-11"/>
    <x v="0"/>
    <n v="2024"/>
    <x v="2"/>
    <x v="3"/>
    <s v="Customer_51"/>
    <x v="9"/>
    <n v="3206"/>
    <n v="1.35"/>
    <n v="4328.1000000000004"/>
    <n v="1.1100000000000001"/>
    <n v="3558.66"/>
    <x v="731"/>
  </r>
  <r>
    <n v="736"/>
    <s v="2024-08-20"/>
    <x v="9"/>
    <n v="2024"/>
    <x v="0"/>
    <x v="2"/>
    <s v="Customer_9"/>
    <x v="12"/>
    <n v="1424"/>
    <n v="1.05"/>
    <n v="1495.2"/>
    <n v="0.75"/>
    <n v="1068"/>
    <x v="732"/>
  </r>
  <r>
    <n v="737"/>
    <s v="2024-03-28"/>
    <x v="3"/>
    <n v="2024"/>
    <x v="2"/>
    <x v="3"/>
    <s v="Customer_78"/>
    <x v="8"/>
    <n v="1543"/>
    <n v="1.1599999999999999"/>
    <n v="1789.88"/>
    <n v="0.81"/>
    <n v="1249.83"/>
    <x v="733"/>
  </r>
  <r>
    <n v="738"/>
    <s v="2024-12-31"/>
    <x v="1"/>
    <n v="2024"/>
    <x v="2"/>
    <x v="0"/>
    <s v="Customer_72"/>
    <x v="15"/>
    <n v="2974"/>
    <n v="1.17"/>
    <n v="3479.58"/>
    <n v="0.82"/>
    <n v="2438.6799999999998"/>
    <x v="734"/>
  </r>
  <r>
    <n v="739"/>
    <s v="2024-07-30"/>
    <x v="6"/>
    <n v="2024"/>
    <x v="3"/>
    <x v="1"/>
    <s v="Customer_71"/>
    <x v="9"/>
    <n v="4451"/>
    <n v="1.07"/>
    <n v="4762.57"/>
    <n v="0.73"/>
    <n v="3249.23"/>
    <x v="735"/>
  </r>
  <r>
    <n v="740"/>
    <s v="2024-12-21"/>
    <x v="1"/>
    <n v="2024"/>
    <x v="1"/>
    <x v="2"/>
    <s v="Customer_73"/>
    <x v="16"/>
    <n v="4960"/>
    <n v="1.29"/>
    <n v="6398.4"/>
    <n v="0.83"/>
    <n v="4116.8"/>
    <x v="736"/>
  </r>
  <r>
    <n v="741"/>
    <s v="2024-12-08"/>
    <x v="1"/>
    <n v="2024"/>
    <x v="1"/>
    <x v="0"/>
    <s v="Customer_15"/>
    <x v="8"/>
    <n v="4292"/>
    <n v="1.03"/>
    <n v="4420.76"/>
    <n v="0.64"/>
    <n v="2746.88"/>
    <x v="737"/>
  </r>
  <r>
    <n v="742"/>
    <s v="2024-08-15"/>
    <x v="9"/>
    <n v="2024"/>
    <x v="2"/>
    <x v="1"/>
    <s v="Customer_52"/>
    <x v="15"/>
    <n v="1390"/>
    <n v="1.28"/>
    <n v="1779.2"/>
    <n v="0.96"/>
    <n v="1334.4"/>
    <x v="738"/>
  </r>
  <r>
    <n v="743"/>
    <s v="2024-07-13"/>
    <x v="6"/>
    <n v="2024"/>
    <x v="1"/>
    <x v="3"/>
    <s v="Customer_83"/>
    <x v="7"/>
    <n v="1241"/>
    <n v="0.95"/>
    <n v="1178.95"/>
    <n v="0.6"/>
    <n v="744.6"/>
    <x v="739"/>
  </r>
  <r>
    <n v="744"/>
    <s v="2024-10-24"/>
    <x v="5"/>
    <n v="2024"/>
    <x v="3"/>
    <x v="0"/>
    <s v="Customer_85"/>
    <x v="3"/>
    <n v="4210"/>
    <n v="1.17"/>
    <n v="4925.7"/>
    <n v="0.82"/>
    <n v="3452.2"/>
    <x v="740"/>
  </r>
  <r>
    <n v="745"/>
    <s v="2024-10-22"/>
    <x v="5"/>
    <n v="2024"/>
    <x v="3"/>
    <x v="2"/>
    <s v="Customer_27"/>
    <x v="16"/>
    <n v="2955"/>
    <n v="1.2"/>
    <n v="3546"/>
    <n v="0.99"/>
    <n v="2925.45"/>
    <x v="741"/>
  </r>
  <r>
    <n v="746"/>
    <s v="2024-06-04"/>
    <x v="8"/>
    <n v="2024"/>
    <x v="2"/>
    <x v="2"/>
    <s v="Customer_12"/>
    <x v="8"/>
    <n v="566"/>
    <n v="1.23"/>
    <n v="696.18"/>
    <n v="0.89"/>
    <n v="503.74"/>
    <x v="742"/>
  </r>
  <r>
    <n v="747"/>
    <s v="2024-03-06"/>
    <x v="3"/>
    <n v="2024"/>
    <x v="0"/>
    <x v="3"/>
    <s v="Customer_48"/>
    <x v="5"/>
    <n v="935"/>
    <n v="0.8"/>
    <n v="748"/>
    <n v="0.59"/>
    <n v="551.65"/>
    <x v="743"/>
  </r>
  <r>
    <n v="748"/>
    <s v="2024-07-02"/>
    <x v="6"/>
    <n v="2024"/>
    <x v="2"/>
    <x v="0"/>
    <s v="Customer_4"/>
    <x v="6"/>
    <n v="4036"/>
    <n v="1.29"/>
    <n v="5206.4399999999996"/>
    <n v="0.9"/>
    <n v="3632.4"/>
    <x v="744"/>
  </r>
  <r>
    <n v="749"/>
    <s v="2024-06-11"/>
    <x v="8"/>
    <n v="2024"/>
    <x v="1"/>
    <x v="2"/>
    <s v="Customer_49"/>
    <x v="10"/>
    <n v="4965"/>
    <n v="0.95"/>
    <n v="4716.75"/>
    <n v="0.61"/>
    <n v="3028.65"/>
    <x v="745"/>
  </r>
  <r>
    <n v="750"/>
    <s v="2024-03-12"/>
    <x v="3"/>
    <n v="2024"/>
    <x v="1"/>
    <x v="1"/>
    <s v="Customer_47"/>
    <x v="10"/>
    <n v="1763"/>
    <n v="1"/>
    <n v="1763"/>
    <n v="0.82"/>
    <n v="1445.66"/>
    <x v="746"/>
  </r>
  <r>
    <n v="751"/>
    <s v="2024-03-05"/>
    <x v="3"/>
    <n v="2024"/>
    <x v="0"/>
    <x v="1"/>
    <s v="Customer_10"/>
    <x v="1"/>
    <n v="1679"/>
    <n v="1.3"/>
    <n v="2182.6999999999998"/>
    <n v="0.94"/>
    <n v="1578.26"/>
    <x v="747"/>
  </r>
  <r>
    <n v="752"/>
    <s v="2024-08-11"/>
    <x v="9"/>
    <n v="2024"/>
    <x v="0"/>
    <x v="1"/>
    <s v="Customer_18"/>
    <x v="10"/>
    <n v="4235"/>
    <n v="1.43"/>
    <n v="6056.05"/>
    <n v="1.1100000000000001"/>
    <n v="4700.8500000000004"/>
    <x v="394"/>
  </r>
  <r>
    <n v="753"/>
    <s v="2024-08-05"/>
    <x v="9"/>
    <n v="2024"/>
    <x v="1"/>
    <x v="1"/>
    <s v="Customer_66"/>
    <x v="10"/>
    <n v="4186"/>
    <n v="1.07"/>
    <n v="4479.0200000000004"/>
    <n v="0.7"/>
    <n v="2930.2"/>
    <x v="748"/>
  </r>
  <r>
    <n v="754"/>
    <s v="2024-08-05"/>
    <x v="9"/>
    <n v="2024"/>
    <x v="1"/>
    <x v="0"/>
    <s v="Customer_94"/>
    <x v="6"/>
    <n v="4610"/>
    <n v="0.99"/>
    <n v="4563.8999999999996"/>
    <n v="0.82"/>
    <n v="3780.2"/>
    <x v="749"/>
  </r>
  <r>
    <n v="755"/>
    <s v="2024-10-22"/>
    <x v="5"/>
    <n v="2024"/>
    <x v="0"/>
    <x v="3"/>
    <s v="Customer_5"/>
    <x v="8"/>
    <n v="4458"/>
    <n v="1.29"/>
    <n v="5750.82"/>
    <n v="0.81"/>
    <n v="3610.98"/>
    <x v="750"/>
  </r>
  <r>
    <n v="756"/>
    <s v="2024-09-03"/>
    <x v="11"/>
    <n v="2024"/>
    <x v="3"/>
    <x v="0"/>
    <s v="Customer_94"/>
    <x v="19"/>
    <n v="2789"/>
    <n v="1.1299999999999999"/>
    <n v="3151.57"/>
    <n v="0.7"/>
    <n v="1952.3"/>
    <x v="751"/>
  </r>
  <r>
    <n v="757"/>
    <s v="2024-11-08"/>
    <x v="0"/>
    <n v="2024"/>
    <x v="3"/>
    <x v="0"/>
    <s v="Customer_61"/>
    <x v="15"/>
    <n v="4917"/>
    <n v="1.36"/>
    <n v="6687.12"/>
    <n v="0.92"/>
    <n v="4523.6400000000003"/>
    <x v="752"/>
  </r>
  <r>
    <n v="758"/>
    <s v="2024-01-28"/>
    <x v="2"/>
    <n v="2024"/>
    <x v="0"/>
    <x v="3"/>
    <s v="Customer_61"/>
    <x v="2"/>
    <n v="4699"/>
    <n v="1.43"/>
    <n v="6719.57"/>
    <n v="1.06"/>
    <n v="4980.9399999999996"/>
    <x v="753"/>
  </r>
  <r>
    <n v="759"/>
    <s v="2024-06-18"/>
    <x v="8"/>
    <n v="2024"/>
    <x v="2"/>
    <x v="2"/>
    <s v="Customer_38"/>
    <x v="11"/>
    <n v="1872"/>
    <n v="0.82"/>
    <n v="1535.04"/>
    <n v="0.68"/>
    <n v="1272.96"/>
    <x v="754"/>
  </r>
  <r>
    <n v="760"/>
    <s v="2024-06-04"/>
    <x v="8"/>
    <n v="2024"/>
    <x v="0"/>
    <x v="3"/>
    <s v="Customer_81"/>
    <x v="12"/>
    <n v="1885"/>
    <n v="1.2"/>
    <n v="2262"/>
    <n v="0.92"/>
    <n v="1734.2"/>
    <x v="755"/>
  </r>
  <r>
    <n v="761"/>
    <s v="2024-05-29"/>
    <x v="7"/>
    <n v="2024"/>
    <x v="2"/>
    <x v="0"/>
    <s v="Customer_63"/>
    <x v="15"/>
    <n v="1538"/>
    <n v="1.1499999999999999"/>
    <n v="1768.7"/>
    <n v="0.93"/>
    <n v="1430.34"/>
    <x v="756"/>
  </r>
  <r>
    <n v="762"/>
    <s v="2024-05-22"/>
    <x v="7"/>
    <n v="2024"/>
    <x v="3"/>
    <x v="3"/>
    <s v="Customer_79"/>
    <x v="0"/>
    <n v="2754"/>
    <n v="1.4"/>
    <n v="3855.6"/>
    <n v="0.84"/>
    <n v="2313.36"/>
    <x v="757"/>
  </r>
  <r>
    <n v="763"/>
    <s v="2024-02-27"/>
    <x v="4"/>
    <n v="2024"/>
    <x v="3"/>
    <x v="1"/>
    <s v="Customer_85"/>
    <x v="2"/>
    <n v="3529"/>
    <n v="1.37"/>
    <n v="4834.7299999999996"/>
    <n v="0.91"/>
    <n v="3211.39"/>
    <x v="758"/>
  </r>
  <r>
    <n v="764"/>
    <s v="2024-12-24"/>
    <x v="1"/>
    <n v="2024"/>
    <x v="1"/>
    <x v="1"/>
    <s v="Customer_24"/>
    <x v="19"/>
    <n v="771"/>
    <n v="1.04"/>
    <n v="801.84"/>
    <n v="0.65"/>
    <n v="501.15"/>
    <x v="759"/>
  </r>
  <r>
    <n v="765"/>
    <s v="2024-03-15"/>
    <x v="3"/>
    <n v="2024"/>
    <x v="1"/>
    <x v="1"/>
    <s v="Customer_97"/>
    <x v="10"/>
    <n v="3638"/>
    <n v="0.97"/>
    <n v="3528.86"/>
    <n v="0.69"/>
    <n v="2510.2199999999998"/>
    <x v="760"/>
  </r>
  <r>
    <n v="766"/>
    <s v="2024-11-22"/>
    <x v="0"/>
    <n v="2024"/>
    <x v="3"/>
    <x v="1"/>
    <s v="Customer_74"/>
    <x v="4"/>
    <n v="945"/>
    <n v="1.25"/>
    <n v="1181.25"/>
    <n v="0.99"/>
    <n v="935.55"/>
    <x v="761"/>
  </r>
  <r>
    <n v="767"/>
    <s v="2024-02-29"/>
    <x v="4"/>
    <n v="2024"/>
    <x v="3"/>
    <x v="0"/>
    <s v="Customer_60"/>
    <x v="13"/>
    <n v="4401"/>
    <n v="1.01"/>
    <n v="4445.01"/>
    <n v="0.79"/>
    <n v="3476.79"/>
    <x v="762"/>
  </r>
  <r>
    <n v="768"/>
    <s v="2024-09-29"/>
    <x v="11"/>
    <n v="2024"/>
    <x v="1"/>
    <x v="1"/>
    <s v="Customer_88"/>
    <x v="13"/>
    <n v="4387"/>
    <n v="0.98"/>
    <n v="4299.26"/>
    <n v="0.72"/>
    <n v="3158.64"/>
    <x v="763"/>
  </r>
  <r>
    <n v="769"/>
    <s v="2024-08-10"/>
    <x v="9"/>
    <n v="2024"/>
    <x v="2"/>
    <x v="0"/>
    <s v="Customer_58"/>
    <x v="13"/>
    <n v="3086"/>
    <n v="1.47"/>
    <n v="4536.42"/>
    <n v="1.1299999999999999"/>
    <n v="3487.18"/>
    <x v="764"/>
  </r>
  <r>
    <n v="770"/>
    <s v="2024-01-22"/>
    <x v="2"/>
    <n v="2024"/>
    <x v="2"/>
    <x v="0"/>
    <s v="Customer_56"/>
    <x v="18"/>
    <n v="2733"/>
    <n v="1.03"/>
    <n v="2814.99"/>
    <n v="0.69"/>
    <n v="1885.77"/>
    <x v="765"/>
  </r>
  <r>
    <n v="771"/>
    <s v="2024-02-20"/>
    <x v="4"/>
    <n v="2024"/>
    <x v="1"/>
    <x v="3"/>
    <s v="Customer_60"/>
    <x v="6"/>
    <n v="2096"/>
    <n v="1.1599999999999999"/>
    <n v="2431.36"/>
    <n v="0.89"/>
    <n v="1865.44"/>
    <x v="766"/>
  </r>
  <r>
    <n v="772"/>
    <s v="2024-04-02"/>
    <x v="10"/>
    <n v="2024"/>
    <x v="0"/>
    <x v="3"/>
    <s v="Customer_87"/>
    <x v="1"/>
    <n v="1056"/>
    <n v="0.81"/>
    <n v="855.36"/>
    <n v="0.51"/>
    <n v="538.55999999999995"/>
    <x v="767"/>
  </r>
  <r>
    <n v="773"/>
    <s v="2024-02-23"/>
    <x v="4"/>
    <n v="2024"/>
    <x v="2"/>
    <x v="2"/>
    <s v="Customer_29"/>
    <x v="11"/>
    <n v="2563"/>
    <n v="0.94"/>
    <n v="2409.2199999999998"/>
    <n v="0.56999999999999995"/>
    <n v="1460.91"/>
    <x v="768"/>
  </r>
  <r>
    <n v="774"/>
    <s v="2024-02-17"/>
    <x v="4"/>
    <n v="2024"/>
    <x v="3"/>
    <x v="0"/>
    <s v="Customer_77"/>
    <x v="17"/>
    <n v="1482"/>
    <n v="0.86"/>
    <n v="1274.52"/>
    <n v="0.65"/>
    <n v="963.3"/>
    <x v="769"/>
  </r>
  <r>
    <n v="775"/>
    <s v="2024-07-11"/>
    <x v="6"/>
    <n v="2024"/>
    <x v="0"/>
    <x v="1"/>
    <s v="Customer_90"/>
    <x v="9"/>
    <n v="2575"/>
    <n v="1.01"/>
    <n v="2600.75"/>
    <n v="0.77"/>
    <n v="1982.75"/>
    <x v="770"/>
  </r>
  <r>
    <n v="776"/>
    <s v="2024-02-08"/>
    <x v="4"/>
    <n v="2024"/>
    <x v="2"/>
    <x v="2"/>
    <s v="Customer_99"/>
    <x v="10"/>
    <n v="3149"/>
    <n v="0.98"/>
    <n v="3086.02"/>
    <n v="0.78"/>
    <n v="2456.2199999999998"/>
    <x v="771"/>
  </r>
  <r>
    <n v="777"/>
    <s v="2024-05-21"/>
    <x v="7"/>
    <n v="2024"/>
    <x v="1"/>
    <x v="0"/>
    <s v="Customer_50"/>
    <x v="16"/>
    <n v="992"/>
    <n v="0.98"/>
    <n v="972.16"/>
    <n v="0.79"/>
    <n v="783.68"/>
    <x v="772"/>
  </r>
  <r>
    <n v="778"/>
    <s v="2024-04-01"/>
    <x v="10"/>
    <n v="2024"/>
    <x v="0"/>
    <x v="2"/>
    <s v="Customer_63"/>
    <x v="14"/>
    <n v="3716"/>
    <n v="0.92"/>
    <n v="3418.72"/>
    <n v="0.67"/>
    <n v="2489.7199999999998"/>
    <x v="773"/>
  </r>
  <r>
    <n v="779"/>
    <s v="2024-03-14"/>
    <x v="3"/>
    <n v="2024"/>
    <x v="3"/>
    <x v="2"/>
    <s v="Customer_79"/>
    <x v="17"/>
    <n v="4117"/>
    <n v="1.3"/>
    <n v="5352.1"/>
    <n v="0.81"/>
    <n v="3334.77"/>
    <x v="774"/>
  </r>
  <r>
    <n v="780"/>
    <s v="2024-02-07"/>
    <x v="4"/>
    <n v="2024"/>
    <x v="2"/>
    <x v="0"/>
    <s v="Customer_100"/>
    <x v="2"/>
    <n v="653"/>
    <n v="1.43"/>
    <n v="933.79"/>
    <n v="0.91"/>
    <n v="594.23"/>
    <x v="775"/>
  </r>
  <r>
    <n v="781"/>
    <s v="2024-11-23"/>
    <x v="0"/>
    <n v="2024"/>
    <x v="0"/>
    <x v="0"/>
    <s v="Customer_86"/>
    <x v="13"/>
    <n v="2682"/>
    <n v="0.91"/>
    <n v="2440.62"/>
    <n v="0.62"/>
    <n v="1662.84"/>
    <x v="776"/>
  </r>
  <r>
    <n v="782"/>
    <s v="2024-07-19"/>
    <x v="6"/>
    <n v="2024"/>
    <x v="1"/>
    <x v="0"/>
    <s v="Customer_62"/>
    <x v="10"/>
    <n v="3808"/>
    <n v="1.39"/>
    <n v="5293.12"/>
    <n v="1.1100000000000001"/>
    <n v="4226.88"/>
    <x v="777"/>
  </r>
  <r>
    <n v="783"/>
    <s v="2024-02-05"/>
    <x v="4"/>
    <n v="2024"/>
    <x v="0"/>
    <x v="1"/>
    <s v="Customer_50"/>
    <x v="12"/>
    <n v="1492"/>
    <n v="1.2"/>
    <n v="1790.4"/>
    <n v="1"/>
    <n v="1492"/>
    <x v="778"/>
  </r>
  <r>
    <n v="784"/>
    <s v="2024-07-02"/>
    <x v="6"/>
    <n v="2024"/>
    <x v="2"/>
    <x v="3"/>
    <s v="Customer_52"/>
    <x v="7"/>
    <n v="1242"/>
    <n v="1.06"/>
    <n v="1316.52"/>
    <n v="0.86"/>
    <n v="1068.1199999999999"/>
    <x v="779"/>
  </r>
  <r>
    <n v="785"/>
    <s v="2024-06-23"/>
    <x v="8"/>
    <n v="2024"/>
    <x v="1"/>
    <x v="0"/>
    <s v="Customer_98"/>
    <x v="11"/>
    <n v="2163"/>
    <n v="0.92"/>
    <n v="1989.96"/>
    <n v="0.56000000000000005"/>
    <n v="1211.28"/>
    <x v="780"/>
  </r>
  <r>
    <n v="786"/>
    <s v="2024-07-15"/>
    <x v="6"/>
    <n v="2024"/>
    <x v="2"/>
    <x v="1"/>
    <s v="Customer_90"/>
    <x v="13"/>
    <n v="1374"/>
    <n v="1.24"/>
    <n v="1703.76"/>
    <n v="0.86"/>
    <n v="1181.6400000000001"/>
    <x v="781"/>
  </r>
  <r>
    <n v="787"/>
    <s v="2024-02-13"/>
    <x v="4"/>
    <n v="2024"/>
    <x v="3"/>
    <x v="2"/>
    <s v="Customer_18"/>
    <x v="7"/>
    <n v="2081"/>
    <n v="0.82"/>
    <n v="1706.42"/>
    <n v="0.7"/>
    <n v="1456.7"/>
    <x v="782"/>
  </r>
  <r>
    <n v="788"/>
    <s v="2024-05-02"/>
    <x v="7"/>
    <n v="2024"/>
    <x v="1"/>
    <x v="2"/>
    <s v="Customer_9"/>
    <x v="5"/>
    <n v="3020"/>
    <n v="1.1499999999999999"/>
    <n v="3473"/>
    <n v="0.97"/>
    <n v="2929.4"/>
    <x v="783"/>
  </r>
  <r>
    <n v="789"/>
    <s v="2024-08-18"/>
    <x v="9"/>
    <n v="2024"/>
    <x v="0"/>
    <x v="0"/>
    <s v="Customer_44"/>
    <x v="7"/>
    <n v="3266"/>
    <n v="1.35"/>
    <n v="4409.1000000000004"/>
    <n v="0.82"/>
    <n v="2678.12"/>
    <x v="784"/>
  </r>
  <r>
    <n v="790"/>
    <s v="2024-03-01"/>
    <x v="3"/>
    <n v="2024"/>
    <x v="1"/>
    <x v="1"/>
    <s v="Customer_87"/>
    <x v="5"/>
    <n v="1720"/>
    <n v="1.32"/>
    <n v="2270.4"/>
    <n v="0.87"/>
    <n v="1496.4"/>
    <x v="785"/>
  </r>
  <r>
    <n v="791"/>
    <s v="2024-02-06"/>
    <x v="4"/>
    <n v="2024"/>
    <x v="3"/>
    <x v="0"/>
    <s v="Customer_63"/>
    <x v="1"/>
    <n v="4360"/>
    <n v="1.44"/>
    <n v="6278.4"/>
    <n v="1.0900000000000001"/>
    <n v="4752.3999999999996"/>
    <x v="786"/>
  </r>
  <r>
    <n v="792"/>
    <s v="2024-05-04"/>
    <x v="7"/>
    <n v="2024"/>
    <x v="0"/>
    <x v="1"/>
    <s v="Customer_23"/>
    <x v="7"/>
    <n v="3017"/>
    <n v="1.37"/>
    <n v="4133.29"/>
    <n v="0.86"/>
    <n v="2594.62"/>
    <x v="787"/>
  </r>
  <r>
    <n v="793"/>
    <s v="2024-11-08"/>
    <x v="0"/>
    <n v="2024"/>
    <x v="0"/>
    <x v="1"/>
    <s v="Customer_14"/>
    <x v="17"/>
    <n v="4572"/>
    <n v="1.22"/>
    <n v="5577.84"/>
    <n v="0.92"/>
    <n v="4206.24"/>
    <x v="788"/>
  </r>
  <r>
    <n v="794"/>
    <s v="2024-02-02"/>
    <x v="4"/>
    <n v="2024"/>
    <x v="1"/>
    <x v="1"/>
    <s v="Customer_44"/>
    <x v="13"/>
    <n v="3156"/>
    <n v="0.88"/>
    <n v="2777.28"/>
    <n v="0.68"/>
    <n v="2146.08"/>
    <x v="789"/>
  </r>
  <r>
    <n v="795"/>
    <s v="2024-10-06"/>
    <x v="5"/>
    <n v="2024"/>
    <x v="2"/>
    <x v="1"/>
    <s v="Customer_28"/>
    <x v="7"/>
    <n v="1920"/>
    <n v="1.03"/>
    <n v="1977.6"/>
    <n v="0.65"/>
    <n v="1248"/>
    <x v="790"/>
  </r>
  <r>
    <n v="796"/>
    <s v="2024-03-13"/>
    <x v="3"/>
    <n v="2024"/>
    <x v="3"/>
    <x v="2"/>
    <s v="Customer_90"/>
    <x v="4"/>
    <n v="1851"/>
    <n v="1.1100000000000001"/>
    <n v="2054.61"/>
    <n v="0.92"/>
    <n v="1702.92"/>
    <x v="791"/>
  </r>
  <r>
    <n v="797"/>
    <s v="2024-01-21"/>
    <x v="2"/>
    <n v="2024"/>
    <x v="0"/>
    <x v="1"/>
    <s v="Customer_81"/>
    <x v="18"/>
    <n v="3581"/>
    <n v="1.34"/>
    <n v="4798.54"/>
    <n v="0.81"/>
    <n v="2900.61"/>
    <x v="792"/>
  </r>
  <r>
    <n v="798"/>
    <s v="2024-09-06"/>
    <x v="11"/>
    <n v="2024"/>
    <x v="0"/>
    <x v="0"/>
    <s v="Customer_1"/>
    <x v="9"/>
    <n v="1230"/>
    <n v="1.29"/>
    <n v="1586.7"/>
    <n v="0.97"/>
    <n v="1193.0999999999999"/>
    <x v="793"/>
  </r>
  <r>
    <n v="799"/>
    <s v="2024-05-25"/>
    <x v="7"/>
    <n v="2024"/>
    <x v="1"/>
    <x v="2"/>
    <s v="Customer_89"/>
    <x v="3"/>
    <n v="2188"/>
    <n v="0.9"/>
    <n v="1969.2"/>
    <n v="0.6"/>
    <n v="1312.8"/>
    <x v="794"/>
  </r>
  <r>
    <n v="800"/>
    <s v="2024-08-18"/>
    <x v="9"/>
    <n v="2024"/>
    <x v="3"/>
    <x v="2"/>
    <s v="Customer_23"/>
    <x v="18"/>
    <n v="808"/>
    <n v="1.22"/>
    <n v="985.76"/>
    <n v="0.95"/>
    <n v="767.6"/>
    <x v="795"/>
  </r>
  <r>
    <n v="801"/>
    <s v="2024-11-09"/>
    <x v="0"/>
    <n v="2024"/>
    <x v="2"/>
    <x v="0"/>
    <s v="Customer_45"/>
    <x v="10"/>
    <n v="537"/>
    <n v="1.19"/>
    <n v="639.03"/>
    <n v="0.77"/>
    <n v="413.49"/>
    <x v="796"/>
  </r>
  <r>
    <n v="802"/>
    <s v="2024-09-28"/>
    <x v="11"/>
    <n v="2024"/>
    <x v="2"/>
    <x v="0"/>
    <s v="Customer_98"/>
    <x v="5"/>
    <n v="4657"/>
    <n v="0.95"/>
    <n v="4424.1499999999996"/>
    <n v="0.75"/>
    <n v="3492.75"/>
    <x v="797"/>
  </r>
  <r>
    <n v="803"/>
    <s v="2024-12-03"/>
    <x v="1"/>
    <n v="2024"/>
    <x v="2"/>
    <x v="1"/>
    <s v="Customer_7"/>
    <x v="14"/>
    <n v="1423"/>
    <n v="1.36"/>
    <n v="1935.28"/>
    <n v="1.05"/>
    <n v="1494.15"/>
    <x v="798"/>
  </r>
  <r>
    <n v="804"/>
    <s v="2024-08-30"/>
    <x v="9"/>
    <n v="2024"/>
    <x v="3"/>
    <x v="2"/>
    <s v="Customer_21"/>
    <x v="7"/>
    <n v="942"/>
    <n v="1.25"/>
    <n v="1177.5"/>
    <n v="0.84"/>
    <n v="791.28"/>
    <x v="799"/>
  </r>
  <r>
    <n v="805"/>
    <s v="2024-08-10"/>
    <x v="9"/>
    <n v="2024"/>
    <x v="2"/>
    <x v="3"/>
    <s v="Customer_79"/>
    <x v="2"/>
    <n v="854"/>
    <n v="0.87"/>
    <n v="742.98"/>
    <n v="0.53"/>
    <n v="452.62"/>
    <x v="800"/>
  </r>
  <r>
    <n v="806"/>
    <s v="2024-10-02"/>
    <x v="5"/>
    <n v="2024"/>
    <x v="3"/>
    <x v="1"/>
    <s v="Customer_4"/>
    <x v="12"/>
    <n v="4718"/>
    <n v="0.88"/>
    <n v="4151.84"/>
    <n v="0.72"/>
    <n v="3396.96"/>
    <x v="801"/>
  </r>
  <r>
    <n v="807"/>
    <s v="2024-08-15"/>
    <x v="9"/>
    <n v="2024"/>
    <x v="1"/>
    <x v="3"/>
    <s v="Customer_26"/>
    <x v="16"/>
    <n v="2384"/>
    <n v="1.35"/>
    <n v="3218.4"/>
    <n v="0.92"/>
    <n v="2193.2800000000002"/>
    <x v="802"/>
  </r>
  <r>
    <n v="808"/>
    <s v="2024-02-20"/>
    <x v="4"/>
    <n v="2024"/>
    <x v="1"/>
    <x v="1"/>
    <s v="Customer_26"/>
    <x v="13"/>
    <n v="2307"/>
    <n v="0.85"/>
    <n v="1960.95"/>
    <n v="0.63"/>
    <n v="1453.41"/>
    <x v="803"/>
  </r>
  <r>
    <n v="809"/>
    <s v="2024-01-28"/>
    <x v="2"/>
    <n v="2024"/>
    <x v="3"/>
    <x v="2"/>
    <s v="Customer_28"/>
    <x v="18"/>
    <n v="4227"/>
    <n v="0.92"/>
    <n v="3888.84"/>
    <n v="0.64"/>
    <n v="2705.28"/>
    <x v="804"/>
  </r>
  <r>
    <n v="810"/>
    <s v="2024-08-22"/>
    <x v="9"/>
    <n v="2024"/>
    <x v="2"/>
    <x v="1"/>
    <s v="Customer_35"/>
    <x v="14"/>
    <n v="3251"/>
    <n v="0.89"/>
    <n v="2893.39"/>
    <n v="0.69"/>
    <n v="2243.19"/>
    <x v="805"/>
  </r>
  <r>
    <n v="811"/>
    <s v="2024-01-31"/>
    <x v="2"/>
    <n v="2024"/>
    <x v="3"/>
    <x v="3"/>
    <s v="Customer_15"/>
    <x v="2"/>
    <n v="4256"/>
    <n v="1.0900000000000001"/>
    <n v="4639.04"/>
    <n v="0.86"/>
    <n v="3660.16"/>
    <x v="806"/>
  </r>
  <r>
    <n v="812"/>
    <s v="2024-04-22"/>
    <x v="10"/>
    <n v="2024"/>
    <x v="3"/>
    <x v="3"/>
    <s v="Customer_82"/>
    <x v="18"/>
    <n v="1892"/>
    <n v="1.2"/>
    <n v="2270.4"/>
    <n v="0.89"/>
    <n v="1683.88"/>
    <x v="807"/>
  </r>
  <r>
    <n v="813"/>
    <s v="2024-04-27"/>
    <x v="10"/>
    <n v="2024"/>
    <x v="1"/>
    <x v="0"/>
    <s v="Customer_67"/>
    <x v="12"/>
    <n v="2273"/>
    <n v="1.21"/>
    <n v="2750.33"/>
    <n v="0.98"/>
    <n v="2227.54"/>
    <x v="808"/>
  </r>
  <r>
    <n v="814"/>
    <s v="2024-05-22"/>
    <x v="7"/>
    <n v="2024"/>
    <x v="1"/>
    <x v="0"/>
    <s v="Customer_95"/>
    <x v="6"/>
    <n v="2530"/>
    <n v="1.03"/>
    <n v="2605.9"/>
    <n v="0.77"/>
    <n v="1948.1"/>
    <x v="809"/>
  </r>
  <r>
    <n v="815"/>
    <s v="2024-10-29"/>
    <x v="5"/>
    <n v="2024"/>
    <x v="0"/>
    <x v="1"/>
    <s v="Customer_54"/>
    <x v="7"/>
    <n v="828"/>
    <n v="1.49"/>
    <n v="1233.72"/>
    <n v="1.17"/>
    <n v="968.76"/>
    <x v="810"/>
  </r>
  <r>
    <n v="816"/>
    <s v="2024-09-15"/>
    <x v="11"/>
    <n v="2024"/>
    <x v="1"/>
    <x v="0"/>
    <s v="Customer_68"/>
    <x v="13"/>
    <n v="4426"/>
    <n v="1.37"/>
    <n v="6063.62"/>
    <n v="1.06"/>
    <n v="4691.5600000000004"/>
    <x v="811"/>
  </r>
  <r>
    <n v="817"/>
    <s v="2024-02-20"/>
    <x v="4"/>
    <n v="2024"/>
    <x v="1"/>
    <x v="2"/>
    <s v="Customer_31"/>
    <x v="15"/>
    <n v="601"/>
    <n v="1.29"/>
    <n v="775.29"/>
    <n v="0.91"/>
    <n v="546.91"/>
    <x v="812"/>
  </r>
  <r>
    <n v="818"/>
    <s v="2024-04-21"/>
    <x v="10"/>
    <n v="2024"/>
    <x v="2"/>
    <x v="1"/>
    <s v="Customer_38"/>
    <x v="6"/>
    <n v="1243"/>
    <n v="0.81"/>
    <n v="1006.83"/>
    <n v="0.62"/>
    <n v="770.66"/>
    <x v="813"/>
  </r>
  <r>
    <n v="819"/>
    <s v="2024-03-23"/>
    <x v="3"/>
    <n v="2024"/>
    <x v="0"/>
    <x v="2"/>
    <s v="Customer_59"/>
    <x v="2"/>
    <n v="1635"/>
    <n v="1.41"/>
    <n v="2305.35"/>
    <n v="0.99"/>
    <n v="1618.65"/>
    <x v="814"/>
  </r>
  <r>
    <n v="820"/>
    <s v="2024-07-08"/>
    <x v="6"/>
    <n v="2024"/>
    <x v="0"/>
    <x v="2"/>
    <s v="Customer_81"/>
    <x v="15"/>
    <n v="3652"/>
    <n v="1.43"/>
    <n v="5222.3599999999997"/>
    <n v="0.98"/>
    <n v="3578.96"/>
    <x v="815"/>
  </r>
  <r>
    <n v="821"/>
    <s v="2024-01-17"/>
    <x v="2"/>
    <n v="2024"/>
    <x v="1"/>
    <x v="3"/>
    <s v="Customer_97"/>
    <x v="0"/>
    <n v="4943"/>
    <n v="1.2"/>
    <n v="5931.6"/>
    <n v="0.78"/>
    <n v="3855.54"/>
    <x v="816"/>
  </r>
  <r>
    <n v="822"/>
    <s v="2024-12-16"/>
    <x v="1"/>
    <n v="2024"/>
    <x v="2"/>
    <x v="0"/>
    <s v="Customer_95"/>
    <x v="7"/>
    <n v="4716"/>
    <n v="1.46"/>
    <n v="6885.36"/>
    <n v="1.1200000000000001"/>
    <n v="5281.92"/>
    <x v="817"/>
  </r>
  <r>
    <n v="823"/>
    <s v="2024-01-27"/>
    <x v="2"/>
    <n v="2024"/>
    <x v="1"/>
    <x v="0"/>
    <s v="Customer_47"/>
    <x v="2"/>
    <n v="834"/>
    <n v="1.06"/>
    <n v="884.04"/>
    <n v="0.68"/>
    <n v="567.12"/>
    <x v="818"/>
  </r>
  <r>
    <n v="824"/>
    <s v="2024-10-13"/>
    <x v="5"/>
    <n v="2024"/>
    <x v="3"/>
    <x v="0"/>
    <s v="Customer_18"/>
    <x v="16"/>
    <n v="2454"/>
    <n v="1.18"/>
    <n v="2895.72"/>
    <n v="0.9"/>
    <n v="2208.6"/>
    <x v="819"/>
  </r>
  <r>
    <n v="825"/>
    <s v="2024-10-24"/>
    <x v="5"/>
    <n v="2024"/>
    <x v="3"/>
    <x v="1"/>
    <s v="Customer_42"/>
    <x v="4"/>
    <n v="2690"/>
    <n v="1.1499999999999999"/>
    <n v="3093.5"/>
    <n v="0.81"/>
    <n v="2178.9"/>
    <x v="820"/>
  </r>
  <r>
    <n v="826"/>
    <s v="2024-01-28"/>
    <x v="2"/>
    <n v="2024"/>
    <x v="2"/>
    <x v="0"/>
    <s v="Customer_45"/>
    <x v="2"/>
    <n v="4483"/>
    <n v="1.1499999999999999"/>
    <n v="5155.45"/>
    <n v="0.93"/>
    <n v="4169.1899999999996"/>
    <x v="821"/>
  </r>
  <r>
    <n v="827"/>
    <s v="2024-08-28"/>
    <x v="9"/>
    <n v="2024"/>
    <x v="1"/>
    <x v="3"/>
    <s v="Customer_80"/>
    <x v="4"/>
    <n v="1037"/>
    <n v="0.93"/>
    <n v="964.41"/>
    <n v="0.76"/>
    <n v="788.12"/>
    <x v="822"/>
  </r>
  <r>
    <n v="828"/>
    <s v="2024-02-14"/>
    <x v="4"/>
    <n v="2024"/>
    <x v="1"/>
    <x v="0"/>
    <s v="Customer_23"/>
    <x v="11"/>
    <n v="1130"/>
    <n v="0.88"/>
    <n v="994.4"/>
    <n v="0.59"/>
    <n v="666.7"/>
    <x v="823"/>
  </r>
  <r>
    <n v="829"/>
    <s v="2024-12-22"/>
    <x v="1"/>
    <n v="2024"/>
    <x v="1"/>
    <x v="1"/>
    <s v="Customer_20"/>
    <x v="14"/>
    <n v="4765"/>
    <n v="1.47"/>
    <n v="7004.55"/>
    <n v="0.89"/>
    <n v="4240.8500000000004"/>
    <x v="824"/>
  </r>
  <r>
    <n v="830"/>
    <s v="2024-08-01"/>
    <x v="9"/>
    <n v="2024"/>
    <x v="1"/>
    <x v="1"/>
    <s v="Customer_45"/>
    <x v="10"/>
    <n v="4136"/>
    <n v="1.32"/>
    <n v="5459.52"/>
    <n v="0.8"/>
    <n v="3308.8"/>
    <x v="825"/>
  </r>
  <r>
    <n v="831"/>
    <s v="2024-04-06"/>
    <x v="10"/>
    <n v="2024"/>
    <x v="0"/>
    <x v="0"/>
    <s v="Customer_30"/>
    <x v="19"/>
    <n v="3251"/>
    <n v="1.0900000000000001"/>
    <n v="3543.59"/>
    <n v="0.75"/>
    <n v="2438.25"/>
    <x v="826"/>
  </r>
  <r>
    <n v="832"/>
    <s v="2024-11-26"/>
    <x v="0"/>
    <n v="2024"/>
    <x v="1"/>
    <x v="3"/>
    <s v="Customer_76"/>
    <x v="19"/>
    <n v="4993"/>
    <n v="1.1100000000000001"/>
    <n v="5542.23"/>
    <n v="0.75"/>
    <n v="3744.75"/>
    <x v="827"/>
  </r>
  <r>
    <n v="833"/>
    <s v="2024-03-08"/>
    <x v="3"/>
    <n v="2024"/>
    <x v="3"/>
    <x v="3"/>
    <s v="Customer_34"/>
    <x v="6"/>
    <n v="4466"/>
    <n v="1.06"/>
    <n v="4733.96"/>
    <n v="0.71"/>
    <n v="3170.86"/>
    <x v="828"/>
  </r>
  <r>
    <n v="834"/>
    <s v="2024-01-25"/>
    <x v="2"/>
    <n v="2024"/>
    <x v="2"/>
    <x v="1"/>
    <s v="Customer_37"/>
    <x v="2"/>
    <n v="1862"/>
    <n v="1.23"/>
    <n v="2290.2600000000002"/>
    <n v="0.79"/>
    <n v="1470.98"/>
    <x v="829"/>
  </r>
  <r>
    <n v="835"/>
    <s v="2024-10-01"/>
    <x v="5"/>
    <n v="2024"/>
    <x v="3"/>
    <x v="3"/>
    <s v="Customer_23"/>
    <x v="3"/>
    <n v="1820"/>
    <n v="0.97"/>
    <n v="1765.4"/>
    <n v="0.59"/>
    <n v="1073.8"/>
    <x v="830"/>
  </r>
  <r>
    <n v="836"/>
    <s v="2024-06-11"/>
    <x v="8"/>
    <n v="2024"/>
    <x v="1"/>
    <x v="1"/>
    <s v="Customer_34"/>
    <x v="4"/>
    <n v="2011"/>
    <n v="0.94"/>
    <n v="1890.34"/>
    <n v="0.73"/>
    <n v="1468.03"/>
    <x v="831"/>
  </r>
  <r>
    <n v="837"/>
    <s v="2024-12-06"/>
    <x v="1"/>
    <n v="2024"/>
    <x v="2"/>
    <x v="3"/>
    <s v="Customer_19"/>
    <x v="4"/>
    <n v="4173"/>
    <n v="1.18"/>
    <n v="4924.1400000000003"/>
    <n v="0.76"/>
    <n v="3171.48"/>
    <x v="832"/>
  </r>
  <r>
    <n v="838"/>
    <s v="2024-06-03"/>
    <x v="8"/>
    <n v="2024"/>
    <x v="0"/>
    <x v="0"/>
    <s v="Customer_52"/>
    <x v="12"/>
    <n v="1690"/>
    <n v="1.46"/>
    <n v="2467.4"/>
    <n v="1.21"/>
    <n v="2044.9"/>
    <x v="833"/>
  </r>
  <r>
    <n v="839"/>
    <s v="2024-03-20"/>
    <x v="3"/>
    <n v="2024"/>
    <x v="2"/>
    <x v="0"/>
    <s v="Customer_83"/>
    <x v="11"/>
    <n v="4382"/>
    <n v="1.43"/>
    <n v="6266.26"/>
    <n v="1.2"/>
    <n v="5258.4"/>
    <x v="834"/>
  </r>
  <r>
    <n v="840"/>
    <s v="2024-10-20"/>
    <x v="5"/>
    <n v="2024"/>
    <x v="1"/>
    <x v="1"/>
    <s v="Customer_44"/>
    <x v="17"/>
    <n v="4423"/>
    <n v="1.43"/>
    <n v="6324.89"/>
    <n v="0.91"/>
    <n v="4024.93"/>
    <x v="835"/>
  </r>
  <r>
    <n v="841"/>
    <s v="2024-10-09"/>
    <x v="5"/>
    <n v="2024"/>
    <x v="2"/>
    <x v="0"/>
    <s v="Customer_4"/>
    <x v="13"/>
    <n v="2305"/>
    <n v="1.1100000000000001"/>
    <n v="2558.5500000000002"/>
    <n v="0.69"/>
    <n v="1590.45"/>
    <x v="836"/>
  </r>
  <r>
    <n v="842"/>
    <s v="2024-01-29"/>
    <x v="2"/>
    <n v="2024"/>
    <x v="3"/>
    <x v="1"/>
    <s v="Customer_99"/>
    <x v="0"/>
    <n v="2103"/>
    <n v="0.82"/>
    <n v="1724.46"/>
    <n v="0.6"/>
    <n v="1261.8"/>
    <x v="837"/>
  </r>
  <r>
    <n v="843"/>
    <s v="2024-08-16"/>
    <x v="9"/>
    <n v="2024"/>
    <x v="1"/>
    <x v="0"/>
    <s v="Customer_25"/>
    <x v="12"/>
    <n v="3103"/>
    <n v="1.22"/>
    <n v="3785.66"/>
    <n v="0.89"/>
    <n v="2761.67"/>
    <x v="838"/>
  </r>
  <r>
    <n v="844"/>
    <s v="2024-01-29"/>
    <x v="2"/>
    <n v="2024"/>
    <x v="1"/>
    <x v="3"/>
    <s v="Customer_19"/>
    <x v="10"/>
    <n v="3528"/>
    <n v="1.07"/>
    <n v="3774.96"/>
    <n v="0.65"/>
    <n v="2293.1999999999998"/>
    <x v="839"/>
  </r>
  <r>
    <n v="845"/>
    <s v="2024-06-25"/>
    <x v="8"/>
    <n v="2024"/>
    <x v="2"/>
    <x v="3"/>
    <s v="Customer_58"/>
    <x v="5"/>
    <n v="1217"/>
    <n v="0.95"/>
    <n v="1156.1500000000001"/>
    <n v="0.78"/>
    <n v="949.26"/>
    <x v="840"/>
  </r>
  <r>
    <n v="846"/>
    <s v="2024-07-31"/>
    <x v="6"/>
    <n v="2024"/>
    <x v="2"/>
    <x v="2"/>
    <s v="Customer_21"/>
    <x v="10"/>
    <n v="3893"/>
    <n v="0.9"/>
    <n v="3503.7"/>
    <n v="0.67"/>
    <n v="2608.31"/>
    <x v="841"/>
  </r>
  <r>
    <n v="847"/>
    <s v="2024-02-14"/>
    <x v="4"/>
    <n v="2024"/>
    <x v="3"/>
    <x v="1"/>
    <s v="Customer_39"/>
    <x v="12"/>
    <n v="4803"/>
    <n v="1.49"/>
    <n v="7156.47"/>
    <n v="0.92"/>
    <n v="4418.76"/>
    <x v="842"/>
  </r>
  <r>
    <n v="848"/>
    <s v="2024-10-29"/>
    <x v="5"/>
    <n v="2024"/>
    <x v="0"/>
    <x v="2"/>
    <s v="Customer_1"/>
    <x v="10"/>
    <n v="2739"/>
    <n v="1.0900000000000001"/>
    <n v="2985.51"/>
    <n v="0.81"/>
    <n v="2218.59"/>
    <x v="843"/>
  </r>
  <r>
    <n v="849"/>
    <s v="2024-12-29"/>
    <x v="1"/>
    <n v="2024"/>
    <x v="3"/>
    <x v="1"/>
    <s v="Customer_24"/>
    <x v="13"/>
    <n v="2871"/>
    <n v="1.19"/>
    <n v="3416.49"/>
    <n v="0.73"/>
    <n v="2095.83"/>
    <x v="844"/>
  </r>
  <r>
    <n v="850"/>
    <s v="2024-06-03"/>
    <x v="8"/>
    <n v="2024"/>
    <x v="1"/>
    <x v="3"/>
    <s v="Customer_72"/>
    <x v="2"/>
    <n v="2339"/>
    <n v="0.82"/>
    <n v="1917.98"/>
    <n v="0.49"/>
    <n v="1146.1099999999999"/>
    <x v="845"/>
  </r>
  <r>
    <n v="851"/>
    <s v="2024-05-14"/>
    <x v="7"/>
    <n v="2024"/>
    <x v="1"/>
    <x v="3"/>
    <s v="Customer_16"/>
    <x v="11"/>
    <n v="3917"/>
    <n v="0.93"/>
    <n v="3642.81"/>
    <n v="0.77"/>
    <n v="3016.09"/>
    <x v="846"/>
  </r>
  <r>
    <n v="852"/>
    <s v="2024-11-26"/>
    <x v="0"/>
    <n v="2024"/>
    <x v="0"/>
    <x v="1"/>
    <s v="Customer_16"/>
    <x v="0"/>
    <n v="4539"/>
    <n v="1.5"/>
    <n v="6808.5"/>
    <n v="0.93"/>
    <n v="4221.2700000000004"/>
    <x v="847"/>
  </r>
  <r>
    <n v="853"/>
    <s v="2024-07-04"/>
    <x v="6"/>
    <n v="2024"/>
    <x v="1"/>
    <x v="2"/>
    <s v="Customer_34"/>
    <x v="12"/>
    <n v="1479"/>
    <n v="1.06"/>
    <n v="1567.74"/>
    <n v="0.83"/>
    <n v="1227.57"/>
    <x v="848"/>
  </r>
  <r>
    <n v="854"/>
    <s v="2024-01-09"/>
    <x v="2"/>
    <n v="2024"/>
    <x v="3"/>
    <x v="3"/>
    <s v="Customer_75"/>
    <x v="7"/>
    <n v="1697"/>
    <n v="1.02"/>
    <n v="1730.94"/>
    <n v="0.84"/>
    <n v="1425.48"/>
    <x v="849"/>
  </r>
  <r>
    <n v="855"/>
    <s v="2024-03-10"/>
    <x v="3"/>
    <n v="2024"/>
    <x v="3"/>
    <x v="3"/>
    <s v="Customer_7"/>
    <x v="0"/>
    <n v="3458"/>
    <n v="1.0900000000000001"/>
    <n v="3769.22"/>
    <n v="0.9"/>
    <n v="3112.2"/>
    <x v="850"/>
  </r>
  <r>
    <n v="856"/>
    <s v="2024-07-01"/>
    <x v="6"/>
    <n v="2024"/>
    <x v="2"/>
    <x v="0"/>
    <s v="Customer_38"/>
    <x v="19"/>
    <n v="1129"/>
    <n v="1.1599999999999999"/>
    <n v="1309.6400000000001"/>
    <n v="0.92"/>
    <n v="1038.68"/>
    <x v="851"/>
  </r>
  <r>
    <n v="857"/>
    <s v="2024-04-03"/>
    <x v="10"/>
    <n v="2024"/>
    <x v="3"/>
    <x v="0"/>
    <s v="Customer_70"/>
    <x v="16"/>
    <n v="3090"/>
    <n v="1.38"/>
    <n v="4264.2"/>
    <n v="1.06"/>
    <n v="3275.4"/>
    <x v="852"/>
  </r>
  <r>
    <n v="858"/>
    <s v="2024-06-03"/>
    <x v="8"/>
    <n v="2024"/>
    <x v="2"/>
    <x v="3"/>
    <s v="Customer_13"/>
    <x v="5"/>
    <n v="3380"/>
    <n v="1.38"/>
    <n v="4664.3999999999996"/>
    <n v="0.83"/>
    <n v="2805.4"/>
    <x v="853"/>
  </r>
  <r>
    <n v="859"/>
    <s v="2024-09-22"/>
    <x v="11"/>
    <n v="2024"/>
    <x v="2"/>
    <x v="3"/>
    <s v="Customer_100"/>
    <x v="12"/>
    <n v="3875"/>
    <n v="1.04"/>
    <n v="4030"/>
    <n v="0.86"/>
    <n v="3332.5"/>
    <x v="854"/>
  </r>
  <r>
    <n v="860"/>
    <s v="2024-02-22"/>
    <x v="4"/>
    <n v="2024"/>
    <x v="3"/>
    <x v="1"/>
    <s v="Customer_65"/>
    <x v="6"/>
    <n v="2043"/>
    <n v="1.36"/>
    <n v="2778.48"/>
    <n v="1.01"/>
    <n v="2063.4299999999998"/>
    <x v="855"/>
  </r>
  <r>
    <n v="861"/>
    <s v="2024-12-19"/>
    <x v="1"/>
    <n v="2024"/>
    <x v="1"/>
    <x v="0"/>
    <s v="Customer_59"/>
    <x v="15"/>
    <n v="1454"/>
    <n v="1.37"/>
    <n v="1991.98"/>
    <n v="1.1399999999999999"/>
    <n v="1657.56"/>
    <x v="856"/>
  </r>
  <r>
    <n v="862"/>
    <s v="2024-09-02"/>
    <x v="11"/>
    <n v="2024"/>
    <x v="2"/>
    <x v="3"/>
    <s v="Customer_89"/>
    <x v="4"/>
    <n v="1638"/>
    <n v="1.37"/>
    <n v="2244.06"/>
    <n v="1.1299999999999999"/>
    <n v="1850.94"/>
    <x v="857"/>
  </r>
  <r>
    <n v="863"/>
    <s v="2024-11-01"/>
    <x v="0"/>
    <n v="2024"/>
    <x v="3"/>
    <x v="3"/>
    <s v="Customer_91"/>
    <x v="11"/>
    <n v="735"/>
    <n v="1.32"/>
    <n v="970.2"/>
    <n v="0.83"/>
    <n v="610.04999999999995"/>
    <x v="858"/>
  </r>
  <r>
    <n v="864"/>
    <s v="2024-03-06"/>
    <x v="3"/>
    <n v="2024"/>
    <x v="3"/>
    <x v="1"/>
    <s v="Customer_40"/>
    <x v="3"/>
    <n v="2219"/>
    <n v="0.89"/>
    <n v="1974.91"/>
    <n v="0.55000000000000004"/>
    <n v="1220.45"/>
    <x v="859"/>
  </r>
  <r>
    <n v="865"/>
    <s v="2024-12-19"/>
    <x v="1"/>
    <n v="2024"/>
    <x v="0"/>
    <x v="0"/>
    <s v="Customer_3"/>
    <x v="12"/>
    <n v="4032"/>
    <n v="0.83"/>
    <n v="3346.56"/>
    <n v="0.52"/>
    <n v="2096.64"/>
    <x v="860"/>
  </r>
  <r>
    <n v="866"/>
    <s v="2024-12-03"/>
    <x v="1"/>
    <n v="2024"/>
    <x v="1"/>
    <x v="0"/>
    <s v="Customer_16"/>
    <x v="0"/>
    <n v="854"/>
    <n v="0.85"/>
    <n v="725.9"/>
    <n v="0.65"/>
    <n v="555.1"/>
    <x v="861"/>
  </r>
  <r>
    <n v="867"/>
    <s v="2024-02-19"/>
    <x v="4"/>
    <n v="2024"/>
    <x v="3"/>
    <x v="0"/>
    <s v="Customer_76"/>
    <x v="14"/>
    <n v="2013"/>
    <n v="1.27"/>
    <n v="2556.5100000000002"/>
    <n v="0.77"/>
    <n v="1550.01"/>
    <x v="862"/>
  </r>
  <r>
    <n v="868"/>
    <s v="2024-03-15"/>
    <x v="3"/>
    <n v="2024"/>
    <x v="2"/>
    <x v="3"/>
    <s v="Customer_46"/>
    <x v="9"/>
    <n v="4601"/>
    <n v="1.35"/>
    <n v="6211.35"/>
    <n v="1.02"/>
    <n v="4693.0200000000004"/>
    <x v="863"/>
  </r>
  <r>
    <n v="869"/>
    <s v="2024-09-15"/>
    <x v="11"/>
    <n v="2024"/>
    <x v="0"/>
    <x v="0"/>
    <s v="Customer_75"/>
    <x v="1"/>
    <n v="4832"/>
    <n v="0.95"/>
    <n v="4590.3999999999996"/>
    <n v="0.62"/>
    <n v="2995.84"/>
    <x v="864"/>
  </r>
  <r>
    <n v="870"/>
    <s v="2024-05-24"/>
    <x v="7"/>
    <n v="2024"/>
    <x v="0"/>
    <x v="1"/>
    <s v="Customer_93"/>
    <x v="17"/>
    <n v="2253"/>
    <n v="1.44"/>
    <n v="3244.32"/>
    <n v="1.17"/>
    <n v="2636.01"/>
    <x v="865"/>
  </r>
  <r>
    <n v="871"/>
    <s v="2024-08-31"/>
    <x v="9"/>
    <n v="2024"/>
    <x v="3"/>
    <x v="3"/>
    <s v="Customer_57"/>
    <x v="17"/>
    <n v="1981"/>
    <n v="1.38"/>
    <n v="2733.78"/>
    <n v="1.17"/>
    <n v="2317.77"/>
    <x v="866"/>
  </r>
  <r>
    <n v="872"/>
    <s v="2024-08-05"/>
    <x v="9"/>
    <n v="2024"/>
    <x v="3"/>
    <x v="1"/>
    <s v="Customer_53"/>
    <x v="17"/>
    <n v="3074"/>
    <n v="0.89"/>
    <n v="2735.86"/>
    <n v="0.56000000000000005"/>
    <n v="1721.44"/>
    <x v="867"/>
  </r>
  <r>
    <n v="873"/>
    <s v="2024-03-10"/>
    <x v="3"/>
    <n v="2024"/>
    <x v="2"/>
    <x v="2"/>
    <s v="Customer_91"/>
    <x v="11"/>
    <n v="832"/>
    <n v="0.86"/>
    <n v="715.52"/>
    <n v="0.62"/>
    <n v="515.84"/>
    <x v="868"/>
  </r>
  <r>
    <n v="874"/>
    <s v="2024-07-16"/>
    <x v="6"/>
    <n v="2024"/>
    <x v="1"/>
    <x v="3"/>
    <s v="Customer_77"/>
    <x v="11"/>
    <n v="4136"/>
    <n v="0.96"/>
    <n v="3970.56"/>
    <n v="0.67"/>
    <n v="2771.12"/>
    <x v="869"/>
  </r>
  <r>
    <n v="875"/>
    <s v="2024-08-07"/>
    <x v="9"/>
    <n v="2024"/>
    <x v="0"/>
    <x v="1"/>
    <s v="Customer_61"/>
    <x v="4"/>
    <n v="1968"/>
    <n v="0.81"/>
    <n v="1594.08"/>
    <n v="0.62"/>
    <n v="1220.1600000000001"/>
    <x v="870"/>
  </r>
  <r>
    <n v="876"/>
    <s v="2024-12-10"/>
    <x v="1"/>
    <n v="2024"/>
    <x v="1"/>
    <x v="0"/>
    <s v="Customer_57"/>
    <x v="19"/>
    <n v="1196"/>
    <n v="0.88"/>
    <n v="1052.48"/>
    <n v="0.61"/>
    <n v="729.56"/>
    <x v="871"/>
  </r>
  <r>
    <n v="877"/>
    <s v="2024-12-21"/>
    <x v="1"/>
    <n v="2024"/>
    <x v="3"/>
    <x v="0"/>
    <s v="Customer_9"/>
    <x v="4"/>
    <n v="2130"/>
    <n v="1.04"/>
    <n v="2215.1999999999998"/>
    <n v="0.78"/>
    <n v="1661.4"/>
    <x v="872"/>
  </r>
  <r>
    <n v="878"/>
    <s v="2024-07-25"/>
    <x v="6"/>
    <n v="2024"/>
    <x v="3"/>
    <x v="0"/>
    <s v="Customer_55"/>
    <x v="12"/>
    <n v="2781"/>
    <n v="1.34"/>
    <n v="3726.54"/>
    <n v="1.06"/>
    <n v="2947.86"/>
    <x v="780"/>
  </r>
  <r>
    <n v="879"/>
    <s v="2024-10-30"/>
    <x v="5"/>
    <n v="2024"/>
    <x v="1"/>
    <x v="3"/>
    <s v="Customer_46"/>
    <x v="12"/>
    <n v="3813"/>
    <n v="1.49"/>
    <n v="5681.37"/>
    <n v="1.08"/>
    <n v="4118.04"/>
    <x v="873"/>
  </r>
  <r>
    <n v="880"/>
    <s v="2024-03-16"/>
    <x v="3"/>
    <n v="2024"/>
    <x v="0"/>
    <x v="2"/>
    <s v="Customer_16"/>
    <x v="0"/>
    <n v="4508"/>
    <n v="1.1499999999999999"/>
    <n v="5184.2"/>
    <n v="0.87"/>
    <n v="3921.96"/>
    <x v="874"/>
  </r>
  <r>
    <n v="881"/>
    <s v="2024-03-09"/>
    <x v="3"/>
    <n v="2024"/>
    <x v="0"/>
    <x v="0"/>
    <s v="Customer_95"/>
    <x v="7"/>
    <n v="1058"/>
    <n v="1.1499999999999999"/>
    <n v="1216.7"/>
    <n v="0.7"/>
    <n v="740.6"/>
    <x v="875"/>
  </r>
  <r>
    <n v="882"/>
    <s v="2024-04-01"/>
    <x v="10"/>
    <n v="2024"/>
    <x v="2"/>
    <x v="2"/>
    <s v="Customer_20"/>
    <x v="11"/>
    <n v="1289"/>
    <n v="1.33"/>
    <n v="1714.37"/>
    <n v="1.02"/>
    <n v="1314.78"/>
    <x v="876"/>
  </r>
  <r>
    <n v="883"/>
    <s v="2024-09-23"/>
    <x v="11"/>
    <n v="2024"/>
    <x v="1"/>
    <x v="2"/>
    <s v="Customer_26"/>
    <x v="11"/>
    <n v="4578"/>
    <n v="1.1399999999999999"/>
    <n v="5218.92"/>
    <n v="0.76"/>
    <n v="3479.28"/>
    <x v="877"/>
  </r>
  <r>
    <n v="884"/>
    <s v="2024-06-24"/>
    <x v="8"/>
    <n v="2024"/>
    <x v="0"/>
    <x v="0"/>
    <s v="Customer_56"/>
    <x v="17"/>
    <n v="3642"/>
    <n v="1.1200000000000001"/>
    <n v="4079.04"/>
    <n v="0.91"/>
    <n v="3314.22"/>
    <x v="878"/>
  </r>
  <r>
    <n v="885"/>
    <s v="2024-08-14"/>
    <x v="9"/>
    <n v="2024"/>
    <x v="0"/>
    <x v="2"/>
    <s v="Customer_5"/>
    <x v="9"/>
    <n v="2982"/>
    <n v="1.42"/>
    <n v="4234.4399999999996"/>
    <n v="0.91"/>
    <n v="2713.62"/>
    <x v="879"/>
  </r>
  <r>
    <n v="886"/>
    <s v="2024-08-08"/>
    <x v="9"/>
    <n v="2024"/>
    <x v="2"/>
    <x v="1"/>
    <s v="Customer_92"/>
    <x v="13"/>
    <n v="4493"/>
    <n v="1.33"/>
    <n v="5975.69"/>
    <n v="0.99"/>
    <n v="4448.07"/>
    <x v="880"/>
  </r>
  <r>
    <n v="887"/>
    <s v="2024-09-08"/>
    <x v="11"/>
    <n v="2024"/>
    <x v="1"/>
    <x v="2"/>
    <s v="Customer_72"/>
    <x v="9"/>
    <n v="4650"/>
    <n v="0.84"/>
    <n v="3906"/>
    <n v="0.56000000000000005"/>
    <n v="2604"/>
    <x v="881"/>
  </r>
  <r>
    <n v="888"/>
    <s v="2024-10-29"/>
    <x v="5"/>
    <n v="2024"/>
    <x v="2"/>
    <x v="2"/>
    <s v="Customer_99"/>
    <x v="11"/>
    <n v="3125"/>
    <n v="0.84"/>
    <n v="2625"/>
    <n v="0.63"/>
    <n v="1968.75"/>
    <x v="882"/>
  </r>
  <r>
    <n v="889"/>
    <s v="2024-03-06"/>
    <x v="3"/>
    <n v="2024"/>
    <x v="2"/>
    <x v="3"/>
    <s v="Customer_95"/>
    <x v="8"/>
    <n v="720"/>
    <n v="1.34"/>
    <n v="964.8"/>
    <n v="1.01"/>
    <n v="727.2"/>
    <x v="883"/>
  </r>
  <r>
    <n v="890"/>
    <s v="2024-07-13"/>
    <x v="6"/>
    <n v="2024"/>
    <x v="1"/>
    <x v="0"/>
    <s v="Customer_45"/>
    <x v="4"/>
    <n v="3874"/>
    <n v="1.05"/>
    <n v="4067.7"/>
    <n v="0.8"/>
    <n v="3099.2"/>
    <x v="884"/>
  </r>
  <r>
    <n v="891"/>
    <s v="2024-05-06"/>
    <x v="7"/>
    <n v="2024"/>
    <x v="2"/>
    <x v="1"/>
    <s v="Customer_76"/>
    <x v="15"/>
    <n v="1036"/>
    <n v="1.41"/>
    <n v="1460.76"/>
    <n v="0.89"/>
    <n v="922.04"/>
    <x v="885"/>
  </r>
  <r>
    <n v="892"/>
    <s v="2024-03-27"/>
    <x v="3"/>
    <n v="2024"/>
    <x v="2"/>
    <x v="0"/>
    <s v="Customer_5"/>
    <x v="2"/>
    <n v="3960"/>
    <n v="1.2"/>
    <n v="4752"/>
    <n v="0.99"/>
    <n v="3920.4"/>
    <x v="283"/>
  </r>
  <r>
    <n v="893"/>
    <s v="2024-05-16"/>
    <x v="7"/>
    <n v="2024"/>
    <x v="1"/>
    <x v="0"/>
    <s v="Customer_76"/>
    <x v="1"/>
    <n v="3092"/>
    <n v="1.06"/>
    <n v="3277.52"/>
    <n v="0.74"/>
    <n v="2288.08"/>
    <x v="886"/>
  </r>
  <r>
    <n v="894"/>
    <s v="2024-10-20"/>
    <x v="5"/>
    <n v="2024"/>
    <x v="1"/>
    <x v="0"/>
    <s v="Customer_13"/>
    <x v="14"/>
    <n v="3252"/>
    <n v="1.1499999999999999"/>
    <n v="3739.8"/>
    <n v="0.92"/>
    <n v="2991.84"/>
    <x v="887"/>
  </r>
  <r>
    <n v="895"/>
    <s v="2024-12-07"/>
    <x v="1"/>
    <n v="2024"/>
    <x v="3"/>
    <x v="3"/>
    <s v="Customer_79"/>
    <x v="11"/>
    <n v="3476"/>
    <n v="1.48"/>
    <n v="5144.4799999999996"/>
    <n v="0.96"/>
    <n v="3336.96"/>
    <x v="888"/>
  </r>
  <r>
    <n v="896"/>
    <s v="2024-11-21"/>
    <x v="0"/>
    <n v="2024"/>
    <x v="3"/>
    <x v="0"/>
    <s v="Customer_37"/>
    <x v="0"/>
    <n v="889"/>
    <n v="1.01"/>
    <n v="897.89"/>
    <n v="0.75"/>
    <n v="666.75"/>
    <x v="889"/>
  </r>
  <r>
    <n v="897"/>
    <s v="2024-04-25"/>
    <x v="10"/>
    <n v="2024"/>
    <x v="0"/>
    <x v="0"/>
    <s v="Customer_76"/>
    <x v="16"/>
    <n v="2739"/>
    <n v="0.85"/>
    <n v="2328.15"/>
    <n v="0.68"/>
    <n v="1862.52"/>
    <x v="890"/>
  </r>
  <r>
    <n v="898"/>
    <s v="2024-08-31"/>
    <x v="9"/>
    <n v="2024"/>
    <x v="3"/>
    <x v="2"/>
    <s v="Customer_45"/>
    <x v="15"/>
    <n v="2972"/>
    <n v="1.1499999999999999"/>
    <n v="3417.8"/>
    <n v="0.78"/>
    <n v="2318.16"/>
    <x v="891"/>
  </r>
  <r>
    <n v="899"/>
    <s v="2024-12-05"/>
    <x v="1"/>
    <n v="2024"/>
    <x v="3"/>
    <x v="3"/>
    <s v="Customer_54"/>
    <x v="13"/>
    <n v="2558"/>
    <n v="1.24"/>
    <n v="3171.92"/>
    <n v="0.88"/>
    <n v="2251.04"/>
    <x v="892"/>
  </r>
  <r>
    <n v="900"/>
    <s v="2024-10-07"/>
    <x v="5"/>
    <n v="2024"/>
    <x v="0"/>
    <x v="1"/>
    <s v="Customer_81"/>
    <x v="19"/>
    <n v="2028"/>
    <n v="1.2"/>
    <n v="2433.6"/>
    <n v="0.78"/>
    <n v="1581.84"/>
    <x v="893"/>
  </r>
  <r>
    <n v="901"/>
    <s v="2024-08-27"/>
    <x v="9"/>
    <n v="2024"/>
    <x v="1"/>
    <x v="3"/>
    <s v="Customer_73"/>
    <x v="7"/>
    <n v="4778"/>
    <n v="0.94"/>
    <n v="4491.32"/>
    <n v="0.67"/>
    <n v="3201.26"/>
    <x v="894"/>
  </r>
  <r>
    <n v="902"/>
    <s v="2024-05-03"/>
    <x v="7"/>
    <n v="2024"/>
    <x v="2"/>
    <x v="1"/>
    <s v="Customer_56"/>
    <x v="10"/>
    <n v="3110"/>
    <n v="1.4"/>
    <n v="4354"/>
    <n v="1.1599999999999999"/>
    <n v="3607.6"/>
    <x v="895"/>
  </r>
  <r>
    <n v="903"/>
    <s v="2024-11-20"/>
    <x v="0"/>
    <n v="2024"/>
    <x v="1"/>
    <x v="1"/>
    <s v="Customer_35"/>
    <x v="11"/>
    <n v="1815"/>
    <n v="0.98"/>
    <n v="1778.7"/>
    <n v="0.74"/>
    <n v="1343.1"/>
    <x v="896"/>
  </r>
  <r>
    <n v="904"/>
    <s v="2024-07-26"/>
    <x v="6"/>
    <n v="2024"/>
    <x v="0"/>
    <x v="1"/>
    <s v="Customer_20"/>
    <x v="14"/>
    <n v="726"/>
    <n v="0.97"/>
    <n v="704.22"/>
    <n v="0.78"/>
    <n v="566.28"/>
    <x v="897"/>
  </r>
  <r>
    <n v="905"/>
    <s v="2024-08-25"/>
    <x v="9"/>
    <n v="2024"/>
    <x v="1"/>
    <x v="2"/>
    <s v="Customer_55"/>
    <x v="7"/>
    <n v="2154"/>
    <n v="0.91"/>
    <n v="1960.14"/>
    <n v="0.57999999999999996"/>
    <n v="1249.32"/>
    <x v="898"/>
  </r>
  <r>
    <n v="906"/>
    <s v="2024-05-12"/>
    <x v="7"/>
    <n v="2024"/>
    <x v="3"/>
    <x v="3"/>
    <s v="Customer_83"/>
    <x v="7"/>
    <n v="4480"/>
    <n v="1.35"/>
    <n v="6048"/>
    <n v="0.83"/>
    <n v="3718.4"/>
    <x v="899"/>
  </r>
  <r>
    <n v="907"/>
    <s v="2024-02-12"/>
    <x v="4"/>
    <n v="2024"/>
    <x v="2"/>
    <x v="3"/>
    <s v="Customer_9"/>
    <x v="10"/>
    <n v="3477"/>
    <n v="1.27"/>
    <n v="4415.79"/>
    <n v="1.04"/>
    <n v="3616.08"/>
    <x v="900"/>
  </r>
  <r>
    <n v="908"/>
    <s v="2024-07-22"/>
    <x v="6"/>
    <n v="2024"/>
    <x v="3"/>
    <x v="1"/>
    <s v="Customer_15"/>
    <x v="8"/>
    <n v="4598"/>
    <n v="1.45"/>
    <n v="6667.1"/>
    <n v="1.06"/>
    <n v="4873.88"/>
    <x v="901"/>
  </r>
  <r>
    <n v="909"/>
    <s v="2024-10-24"/>
    <x v="5"/>
    <n v="2024"/>
    <x v="1"/>
    <x v="3"/>
    <s v="Customer_12"/>
    <x v="6"/>
    <n v="1501"/>
    <n v="1.34"/>
    <n v="2011.34"/>
    <n v="0.91"/>
    <n v="1365.91"/>
    <x v="902"/>
  </r>
  <r>
    <n v="910"/>
    <s v="2024-10-26"/>
    <x v="5"/>
    <n v="2024"/>
    <x v="3"/>
    <x v="2"/>
    <s v="Customer_55"/>
    <x v="14"/>
    <n v="1681"/>
    <n v="0.87"/>
    <n v="1462.47"/>
    <n v="0.56999999999999995"/>
    <n v="958.17"/>
    <x v="903"/>
  </r>
  <r>
    <n v="911"/>
    <s v="2024-05-20"/>
    <x v="7"/>
    <n v="2024"/>
    <x v="1"/>
    <x v="2"/>
    <s v="Customer_33"/>
    <x v="8"/>
    <n v="958"/>
    <n v="1.1399999999999999"/>
    <n v="1092.1199999999999"/>
    <n v="0.79"/>
    <n v="756.82"/>
    <x v="904"/>
  </r>
  <r>
    <n v="912"/>
    <s v="2024-02-27"/>
    <x v="4"/>
    <n v="2024"/>
    <x v="1"/>
    <x v="3"/>
    <s v="Customer_61"/>
    <x v="6"/>
    <n v="2775"/>
    <n v="1.42"/>
    <n v="3940.5"/>
    <n v="1.18"/>
    <n v="3274.5"/>
    <x v="905"/>
  </r>
  <r>
    <n v="913"/>
    <s v="2024-07-04"/>
    <x v="6"/>
    <n v="2024"/>
    <x v="2"/>
    <x v="2"/>
    <s v="Customer_40"/>
    <x v="1"/>
    <n v="785"/>
    <n v="1.39"/>
    <n v="1091.1500000000001"/>
    <n v="1.06"/>
    <n v="832.1"/>
    <x v="906"/>
  </r>
  <r>
    <n v="914"/>
    <s v="2024-01-28"/>
    <x v="2"/>
    <n v="2024"/>
    <x v="2"/>
    <x v="1"/>
    <s v="Customer_71"/>
    <x v="13"/>
    <n v="3033"/>
    <n v="1.25"/>
    <n v="3791.25"/>
    <n v="0.97"/>
    <n v="2942.01"/>
    <x v="907"/>
  </r>
  <r>
    <n v="915"/>
    <s v="2024-12-16"/>
    <x v="1"/>
    <n v="2024"/>
    <x v="3"/>
    <x v="0"/>
    <s v="Customer_57"/>
    <x v="13"/>
    <n v="564"/>
    <n v="1.44"/>
    <n v="812.16"/>
    <n v="1.01"/>
    <n v="569.64"/>
    <x v="908"/>
  </r>
  <r>
    <n v="916"/>
    <s v="2024-05-10"/>
    <x v="7"/>
    <n v="2024"/>
    <x v="0"/>
    <x v="3"/>
    <s v="Customer_97"/>
    <x v="6"/>
    <n v="2936"/>
    <n v="0.95"/>
    <n v="2789.2"/>
    <n v="0.78"/>
    <n v="2290.08"/>
    <x v="909"/>
  </r>
  <r>
    <n v="917"/>
    <s v="2024-08-12"/>
    <x v="9"/>
    <n v="2024"/>
    <x v="1"/>
    <x v="3"/>
    <s v="Customer_5"/>
    <x v="0"/>
    <n v="1156"/>
    <n v="1.38"/>
    <n v="1595.28"/>
    <n v="1.1499999999999999"/>
    <n v="1329.4"/>
    <x v="910"/>
  </r>
  <r>
    <n v="918"/>
    <s v="2024-08-29"/>
    <x v="9"/>
    <n v="2024"/>
    <x v="2"/>
    <x v="2"/>
    <s v="Customer_92"/>
    <x v="10"/>
    <n v="1322"/>
    <n v="1.38"/>
    <n v="1824.36"/>
    <n v="1.07"/>
    <n v="1414.54"/>
    <x v="911"/>
  </r>
  <r>
    <n v="919"/>
    <s v="2024-09-16"/>
    <x v="11"/>
    <n v="2024"/>
    <x v="2"/>
    <x v="0"/>
    <s v="Customer_54"/>
    <x v="18"/>
    <n v="4986"/>
    <n v="1.32"/>
    <n v="6581.52"/>
    <n v="0.94"/>
    <n v="4686.84"/>
    <x v="912"/>
  </r>
  <r>
    <n v="920"/>
    <s v="2024-01-15"/>
    <x v="2"/>
    <n v="2024"/>
    <x v="3"/>
    <x v="0"/>
    <s v="Customer_81"/>
    <x v="2"/>
    <n v="1614"/>
    <n v="0.8"/>
    <n v="1291.2"/>
    <n v="0.52"/>
    <n v="839.28"/>
    <x v="913"/>
  </r>
  <r>
    <n v="921"/>
    <s v="2024-06-05"/>
    <x v="8"/>
    <n v="2024"/>
    <x v="0"/>
    <x v="3"/>
    <s v="Customer_15"/>
    <x v="9"/>
    <n v="2544"/>
    <n v="1.1599999999999999"/>
    <n v="2951.04"/>
    <n v="0.98"/>
    <n v="2493.12"/>
    <x v="914"/>
  </r>
  <r>
    <n v="922"/>
    <s v="2024-11-28"/>
    <x v="0"/>
    <n v="2024"/>
    <x v="1"/>
    <x v="1"/>
    <s v="Customer_41"/>
    <x v="2"/>
    <n v="4418"/>
    <n v="1.41"/>
    <n v="6229.38"/>
    <n v="0.89"/>
    <n v="3932.02"/>
    <x v="915"/>
  </r>
  <r>
    <n v="923"/>
    <s v="2024-03-29"/>
    <x v="3"/>
    <n v="2024"/>
    <x v="2"/>
    <x v="3"/>
    <s v="Customer_26"/>
    <x v="15"/>
    <n v="3895"/>
    <n v="1.06"/>
    <n v="4128.7"/>
    <n v="0.74"/>
    <n v="2882.3"/>
    <x v="916"/>
  </r>
  <r>
    <n v="924"/>
    <s v="2024-07-12"/>
    <x v="6"/>
    <n v="2024"/>
    <x v="0"/>
    <x v="1"/>
    <s v="Customer_3"/>
    <x v="5"/>
    <n v="2373"/>
    <n v="1.43"/>
    <n v="3393.39"/>
    <n v="1.21"/>
    <n v="2871.33"/>
    <x v="917"/>
  </r>
  <r>
    <n v="925"/>
    <s v="2024-04-11"/>
    <x v="10"/>
    <n v="2024"/>
    <x v="3"/>
    <x v="3"/>
    <s v="Customer_7"/>
    <x v="13"/>
    <n v="4013"/>
    <n v="1.22"/>
    <n v="4895.8599999999997"/>
    <n v="0.78"/>
    <n v="3130.14"/>
    <x v="918"/>
  </r>
  <r>
    <n v="926"/>
    <s v="2024-07-07"/>
    <x v="6"/>
    <n v="2024"/>
    <x v="0"/>
    <x v="1"/>
    <s v="Customer_2"/>
    <x v="19"/>
    <n v="4064"/>
    <n v="1.34"/>
    <n v="5445.76"/>
    <n v="1.1100000000000001"/>
    <n v="4511.04"/>
    <x v="919"/>
  </r>
  <r>
    <n v="927"/>
    <s v="2024-12-10"/>
    <x v="1"/>
    <n v="2024"/>
    <x v="0"/>
    <x v="2"/>
    <s v="Customer_29"/>
    <x v="14"/>
    <n v="2060"/>
    <n v="1.46"/>
    <n v="3007.6"/>
    <n v="1.17"/>
    <n v="2410.1999999999998"/>
    <x v="920"/>
  </r>
  <r>
    <n v="928"/>
    <s v="2024-05-16"/>
    <x v="7"/>
    <n v="2024"/>
    <x v="1"/>
    <x v="3"/>
    <s v="Customer_49"/>
    <x v="3"/>
    <n v="4033"/>
    <n v="1.4"/>
    <n v="5646.2"/>
    <n v="1.05"/>
    <n v="4234.6499999999996"/>
    <x v="921"/>
  </r>
  <r>
    <n v="929"/>
    <s v="2024-05-24"/>
    <x v="7"/>
    <n v="2024"/>
    <x v="1"/>
    <x v="1"/>
    <s v="Customer_24"/>
    <x v="10"/>
    <n v="1695"/>
    <n v="0.82"/>
    <n v="1389.9"/>
    <n v="0.69"/>
    <n v="1169.55"/>
    <x v="922"/>
  </r>
  <r>
    <n v="930"/>
    <s v="2024-04-30"/>
    <x v="10"/>
    <n v="2024"/>
    <x v="3"/>
    <x v="2"/>
    <s v="Customer_48"/>
    <x v="8"/>
    <n v="4253"/>
    <n v="0.86"/>
    <n v="3657.58"/>
    <n v="0.62"/>
    <n v="2636.86"/>
    <x v="923"/>
  </r>
  <r>
    <n v="931"/>
    <s v="2024-06-14"/>
    <x v="8"/>
    <n v="2024"/>
    <x v="3"/>
    <x v="2"/>
    <s v="Customer_92"/>
    <x v="13"/>
    <n v="3967"/>
    <n v="1.32"/>
    <n v="5236.4399999999996"/>
    <n v="0.88"/>
    <n v="3490.96"/>
    <x v="924"/>
  </r>
  <r>
    <n v="932"/>
    <s v="2024-02-18"/>
    <x v="4"/>
    <n v="2024"/>
    <x v="0"/>
    <x v="0"/>
    <s v="Customer_43"/>
    <x v="6"/>
    <n v="4357"/>
    <n v="1.44"/>
    <n v="6274.08"/>
    <n v="1.22"/>
    <n v="5315.54"/>
    <x v="925"/>
  </r>
  <r>
    <n v="933"/>
    <s v="2024-12-09"/>
    <x v="1"/>
    <n v="2024"/>
    <x v="0"/>
    <x v="0"/>
    <s v="Customer_33"/>
    <x v="19"/>
    <n v="3620"/>
    <n v="1.01"/>
    <n v="3656.2"/>
    <n v="0.71"/>
    <n v="2570.1999999999998"/>
    <x v="926"/>
  </r>
  <r>
    <n v="934"/>
    <s v="2024-07-08"/>
    <x v="6"/>
    <n v="2024"/>
    <x v="0"/>
    <x v="1"/>
    <s v="Customer_75"/>
    <x v="9"/>
    <n v="2632"/>
    <n v="0.92"/>
    <n v="2421.44"/>
    <n v="0.67"/>
    <n v="1763.44"/>
    <x v="927"/>
  </r>
  <r>
    <n v="935"/>
    <s v="2024-06-22"/>
    <x v="8"/>
    <n v="2024"/>
    <x v="3"/>
    <x v="2"/>
    <s v="Customer_12"/>
    <x v="16"/>
    <n v="4845"/>
    <n v="1.1000000000000001"/>
    <n v="5329.5"/>
    <n v="0.73"/>
    <n v="3536.85"/>
    <x v="928"/>
  </r>
  <r>
    <n v="936"/>
    <s v="2024-06-09"/>
    <x v="8"/>
    <n v="2024"/>
    <x v="3"/>
    <x v="0"/>
    <s v="Customer_64"/>
    <x v="0"/>
    <n v="3453"/>
    <n v="1.45"/>
    <n v="5006.8500000000004"/>
    <n v="0.97"/>
    <n v="3349.41"/>
    <x v="929"/>
  </r>
  <r>
    <n v="937"/>
    <s v="2024-05-14"/>
    <x v="7"/>
    <n v="2024"/>
    <x v="2"/>
    <x v="3"/>
    <s v="Customer_56"/>
    <x v="9"/>
    <n v="3084"/>
    <n v="1.32"/>
    <n v="4070.88"/>
    <n v="0.95"/>
    <n v="2929.8"/>
    <x v="930"/>
  </r>
  <r>
    <n v="938"/>
    <s v="2024-03-18"/>
    <x v="3"/>
    <n v="2024"/>
    <x v="0"/>
    <x v="2"/>
    <s v="Customer_25"/>
    <x v="3"/>
    <n v="947"/>
    <n v="0.96"/>
    <n v="909.12"/>
    <n v="0.57999999999999996"/>
    <n v="549.26"/>
    <x v="931"/>
  </r>
  <r>
    <n v="939"/>
    <s v="2024-05-13"/>
    <x v="7"/>
    <n v="2024"/>
    <x v="1"/>
    <x v="1"/>
    <s v="Customer_56"/>
    <x v="17"/>
    <n v="4554"/>
    <n v="0.83"/>
    <n v="3779.82"/>
    <n v="0.56999999999999995"/>
    <n v="2595.7800000000002"/>
    <x v="932"/>
  </r>
  <r>
    <n v="940"/>
    <s v="2024-12-29"/>
    <x v="1"/>
    <n v="2024"/>
    <x v="1"/>
    <x v="2"/>
    <s v="Customer_64"/>
    <x v="17"/>
    <n v="1712"/>
    <n v="0.89"/>
    <n v="1523.68"/>
    <n v="0.55000000000000004"/>
    <n v="941.6"/>
    <x v="660"/>
  </r>
  <r>
    <n v="941"/>
    <s v="2024-05-25"/>
    <x v="7"/>
    <n v="2024"/>
    <x v="3"/>
    <x v="1"/>
    <s v="Customer_96"/>
    <x v="19"/>
    <n v="2734"/>
    <n v="1.19"/>
    <n v="3253.46"/>
    <n v="0.91"/>
    <n v="2487.94"/>
    <x v="933"/>
  </r>
  <r>
    <n v="942"/>
    <s v="2024-04-18"/>
    <x v="10"/>
    <n v="2024"/>
    <x v="3"/>
    <x v="0"/>
    <s v="Customer_54"/>
    <x v="15"/>
    <n v="2516"/>
    <n v="1.34"/>
    <n v="3371.44"/>
    <n v="1.03"/>
    <n v="2591.48"/>
    <x v="934"/>
  </r>
  <r>
    <n v="943"/>
    <s v="2024-06-17"/>
    <x v="8"/>
    <n v="2024"/>
    <x v="2"/>
    <x v="0"/>
    <s v="Customer_88"/>
    <x v="17"/>
    <n v="3729"/>
    <n v="1.06"/>
    <n v="3952.74"/>
    <n v="0.88"/>
    <n v="3281.52"/>
    <x v="935"/>
  </r>
  <r>
    <n v="944"/>
    <s v="2024-02-24"/>
    <x v="4"/>
    <n v="2024"/>
    <x v="3"/>
    <x v="3"/>
    <s v="Customer_4"/>
    <x v="15"/>
    <n v="4270"/>
    <n v="1.38"/>
    <n v="5892.6"/>
    <n v="1.06"/>
    <n v="4526.2"/>
    <x v="936"/>
  </r>
  <r>
    <n v="945"/>
    <s v="2024-08-20"/>
    <x v="9"/>
    <n v="2024"/>
    <x v="0"/>
    <x v="3"/>
    <s v="Customer_43"/>
    <x v="7"/>
    <n v="4211"/>
    <n v="1.03"/>
    <n v="4337.33"/>
    <n v="0.81"/>
    <n v="3410.91"/>
    <x v="937"/>
  </r>
  <r>
    <n v="946"/>
    <s v="2024-10-18"/>
    <x v="5"/>
    <n v="2024"/>
    <x v="3"/>
    <x v="1"/>
    <s v="Customer_7"/>
    <x v="11"/>
    <n v="3147"/>
    <n v="1.36"/>
    <n v="4279.92"/>
    <n v="1.07"/>
    <n v="3367.29"/>
    <x v="938"/>
  </r>
  <r>
    <n v="947"/>
    <s v="2024-10-07"/>
    <x v="5"/>
    <n v="2024"/>
    <x v="0"/>
    <x v="2"/>
    <s v="Customer_52"/>
    <x v="0"/>
    <n v="1958"/>
    <n v="0.97"/>
    <n v="1899.26"/>
    <n v="0.77"/>
    <n v="1507.66"/>
    <x v="939"/>
  </r>
  <r>
    <n v="948"/>
    <s v="2024-07-23"/>
    <x v="6"/>
    <n v="2024"/>
    <x v="0"/>
    <x v="0"/>
    <s v="Customer_27"/>
    <x v="9"/>
    <n v="3682"/>
    <n v="1.35"/>
    <n v="4970.7"/>
    <n v="0.91"/>
    <n v="3350.62"/>
    <x v="940"/>
  </r>
  <r>
    <n v="949"/>
    <s v="2024-11-30"/>
    <x v="0"/>
    <n v="2024"/>
    <x v="0"/>
    <x v="1"/>
    <s v="Customer_39"/>
    <x v="12"/>
    <n v="4041"/>
    <n v="1.32"/>
    <n v="5334.12"/>
    <n v="1.1000000000000001"/>
    <n v="4445.1000000000004"/>
    <x v="941"/>
  </r>
  <r>
    <n v="950"/>
    <s v="2024-12-16"/>
    <x v="1"/>
    <n v="2024"/>
    <x v="2"/>
    <x v="1"/>
    <s v="Customer_86"/>
    <x v="17"/>
    <n v="3510"/>
    <n v="1.1599999999999999"/>
    <n v="4071.6"/>
    <n v="0.84"/>
    <n v="2948.4"/>
    <x v="942"/>
  </r>
  <r>
    <n v="951"/>
    <s v="2024-07-17"/>
    <x v="6"/>
    <n v="2024"/>
    <x v="2"/>
    <x v="2"/>
    <s v="Customer_73"/>
    <x v="18"/>
    <n v="3965"/>
    <n v="0.86"/>
    <n v="3409.9"/>
    <n v="0.61"/>
    <n v="2418.65"/>
    <x v="943"/>
  </r>
  <r>
    <n v="952"/>
    <s v="2024-07-07"/>
    <x v="6"/>
    <n v="2024"/>
    <x v="1"/>
    <x v="1"/>
    <s v="Customer_81"/>
    <x v="10"/>
    <n v="1261"/>
    <n v="0.83"/>
    <n v="1046.6300000000001"/>
    <n v="0.56999999999999995"/>
    <n v="718.77"/>
    <x v="944"/>
  </r>
  <r>
    <n v="953"/>
    <s v="2024-08-25"/>
    <x v="9"/>
    <n v="2024"/>
    <x v="3"/>
    <x v="1"/>
    <s v="Customer_64"/>
    <x v="19"/>
    <n v="4798"/>
    <n v="0.86"/>
    <n v="4126.28"/>
    <n v="0.62"/>
    <n v="2974.76"/>
    <x v="945"/>
  </r>
  <r>
    <n v="954"/>
    <s v="2024-02-10"/>
    <x v="4"/>
    <n v="2024"/>
    <x v="2"/>
    <x v="2"/>
    <s v="Customer_20"/>
    <x v="3"/>
    <n v="2960"/>
    <n v="1.39"/>
    <n v="4114.3999999999996"/>
    <n v="1.02"/>
    <n v="3019.2"/>
    <x v="946"/>
  </r>
  <r>
    <n v="955"/>
    <s v="2024-05-31"/>
    <x v="7"/>
    <n v="2024"/>
    <x v="0"/>
    <x v="0"/>
    <s v="Customer_6"/>
    <x v="19"/>
    <n v="1381"/>
    <n v="1.1599999999999999"/>
    <n v="1601.96"/>
    <n v="0.82"/>
    <n v="1132.42"/>
    <x v="947"/>
  </r>
  <r>
    <n v="956"/>
    <s v="2024-08-25"/>
    <x v="9"/>
    <n v="2024"/>
    <x v="2"/>
    <x v="3"/>
    <s v="Customer_33"/>
    <x v="8"/>
    <n v="1169"/>
    <n v="1.34"/>
    <n v="1566.46"/>
    <n v="0.81"/>
    <n v="946.89"/>
    <x v="948"/>
  </r>
  <r>
    <n v="957"/>
    <s v="2024-12-04"/>
    <x v="1"/>
    <n v="2024"/>
    <x v="3"/>
    <x v="2"/>
    <s v="Customer_24"/>
    <x v="13"/>
    <n v="870"/>
    <n v="0.86"/>
    <n v="748.2"/>
    <n v="0.7"/>
    <n v="609"/>
    <x v="949"/>
  </r>
  <r>
    <n v="958"/>
    <s v="2024-06-01"/>
    <x v="8"/>
    <n v="2024"/>
    <x v="1"/>
    <x v="3"/>
    <s v="Customer_97"/>
    <x v="2"/>
    <n v="2671"/>
    <n v="1.04"/>
    <n v="2777.84"/>
    <n v="0.86"/>
    <n v="2297.06"/>
    <x v="950"/>
  </r>
  <r>
    <n v="959"/>
    <s v="2024-04-05"/>
    <x v="10"/>
    <n v="2024"/>
    <x v="3"/>
    <x v="1"/>
    <s v="Customer_11"/>
    <x v="18"/>
    <n v="2624"/>
    <n v="1.41"/>
    <n v="3699.84"/>
    <n v="0.88"/>
    <n v="2309.12"/>
    <x v="951"/>
  </r>
  <r>
    <n v="960"/>
    <s v="2024-09-30"/>
    <x v="11"/>
    <n v="2024"/>
    <x v="0"/>
    <x v="0"/>
    <s v="Customer_51"/>
    <x v="17"/>
    <n v="608"/>
    <n v="0.92"/>
    <n v="559.36"/>
    <n v="0.66"/>
    <n v="401.28"/>
    <x v="952"/>
  </r>
  <r>
    <n v="961"/>
    <s v="2024-12-20"/>
    <x v="1"/>
    <n v="2024"/>
    <x v="1"/>
    <x v="2"/>
    <s v="Customer_39"/>
    <x v="18"/>
    <n v="3455"/>
    <n v="1.28"/>
    <n v="4422.3999999999996"/>
    <n v="1.08"/>
    <n v="3731.4"/>
    <x v="953"/>
  </r>
  <r>
    <n v="962"/>
    <s v="2024-12-11"/>
    <x v="1"/>
    <n v="2024"/>
    <x v="2"/>
    <x v="2"/>
    <s v="Customer_12"/>
    <x v="3"/>
    <n v="1606"/>
    <n v="0.81"/>
    <n v="1300.8599999999999"/>
    <n v="0.51"/>
    <n v="819.06"/>
    <x v="954"/>
  </r>
  <r>
    <n v="963"/>
    <s v="2024-01-09"/>
    <x v="2"/>
    <n v="2024"/>
    <x v="0"/>
    <x v="1"/>
    <s v="Customer_27"/>
    <x v="12"/>
    <n v="1689"/>
    <n v="1.25"/>
    <n v="2111.25"/>
    <n v="0.89"/>
    <n v="1503.21"/>
    <x v="955"/>
  </r>
  <r>
    <n v="964"/>
    <s v="2024-11-16"/>
    <x v="0"/>
    <n v="2024"/>
    <x v="0"/>
    <x v="1"/>
    <s v="Customer_39"/>
    <x v="2"/>
    <n v="1713"/>
    <n v="1.1299999999999999"/>
    <n v="1935.69"/>
    <n v="0.68"/>
    <n v="1164.8399999999999"/>
    <x v="956"/>
  </r>
  <r>
    <n v="965"/>
    <s v="2024-03-26"/>
    <x v="3"/>
    <n v="2024"/>
    <x v="1"/>
    <x v="1"/>
    <s v="Customer_63"/>
    <x v="12"/>
    <n v="660"/>
    <n v="1.4"/>
    <n v="924"/>
    <n v="1.04"/>
    <n v="686.4"/>
    <x v="883"/>
  </r>
  <r>
    <n v="966"/>
    <s v="2024-04-13"/>
    <x v="10"/>
    <n v="2024"/>
    <x v="1"/>
    <x v="3"/>
    <s v="Customer_7"/>
    <x v="16"/>
    <n v="564"/>
    <n v="0.87"/>
    <n v="490.68"/>
    <n v="0.71"/>
    <n v="400.44"/>
    <x v="957"/>
  </r>
  <r>
    <n v="967"/>
    <s v="2024-08-09"/>
    <x v="9"/>
    <n v="2024"/>
    <x v="1"/>
    <x v="2"/>
    <s v="Customer_95"/>
    <x v="8"/>
    <n v="2882"/>
    <n v="0.83"/>
    <n v="2392.06"/>
    <n v="0.57999999999999996"/>
    <n v="1671.56"/>
    <x v="958"/>
  </r>
  <r>
    <n v="968"/>
    <s v="2024-09-19"/>
    <x v="11"/>
    <n v="2024"/>
    <x v="3"/>
    <x v="2"/>
    <s v="Customer_92"/>
    <x v="7"/>
    <n v="4827"/>
    <n v="0.81"/>
    <n v="3909.87"/>
    <n v="0.6"/>
    <n v="2896.2"/>
    <x v="959"/>
  </r>
  <r>
    <n v="969"/>
    <s v="2024-10-10"/>
    <x v="5"/>
    <n v="2024"/>
    <x v="2"/>
    <x v="0"/>
    <s v="Customer_83"/>
    <x v="10"/>
    <n v="4377"/>
    <n v="0.88"/>
    <n v="3851.76"/>
    <n v="0.66"/>
    <n v="2888.82"/>
    <x v="960"/>
  </r>
  <r>
    <n v="970"/>
    <s v="2024-11-26"/>
    <x v="0"/>
    <n v="2024"/>
    <x v="1"/>
    <x v="3"/>
    <s v="Customer_90"/>
    <x v="10"/>
    <n v="670"/>
    <n v="0.91"/>
    <n v="609.70000000000005"/>
    <n v="0.71"/>
    <n v="475.7"/>
    <x v="961"/>
  </r>
  <r>
    <n v="971"/>
    <s v="2024-08-28"/>
    <x v="9"/>
    <n v="2024"/>
    <x v="1"/>
    <x v="3"/>
    <s v="Customer_30"/>
    <x v="19"/>
    <n v="2299"/>
    <n v="1.21"/>
    <n v="2781.79"/>
    <n v="0.93"/>
    <n v="2138.0700000000002"/>
    <x v="962"/>
  </r>
  <r>
    <n v="972"/>
    <s v="2024-11-04"/>
    <x v="0"/>
    <n v="2024"/>
    <x v="3"/>
    <x v="2"/>
    <s v="Customer_38"/>
    <x v="13"/>
    <n v="3914"/>
    <n v="1.38"/>
    <n v="5401.32"/>
    <n v="1.06"/>
    <n v="4148.84"/>
    <x v="963"/>
  </r>
  <r>
    <n v="973"/>
    <s v="2024-07-03"/>
    <x v="6"/>
    <n v="2024"/>
    <x v="3"/>
    <x v="2"/>
    <s v="Customer_80"/>
    <x v="14"/>
    <n v="2813"/>
    <n v="1.28"/>
    <n v="3600.64"/>
    <n v="0.8"/>
    <n v="2250.4"/>
    <x v="964"/>
  </r>
  <r>
    <n v="974"/>
    <s v="2024-09-04"/>
    <x v="11"/>
    <n v="2024"/>
    <x v="3"/>
    <x v="1"/>
    <s v="Customer_26"/>
    <x v="9"/>
    <n v="4531"/>
    <n v="0.87"/>
    <n v="3941.97"/>
    <n v="0.61"/>
    <n v="2763.91"/>
    <x v="965"/>
  </r>
  <r>
    <n v="975"/>
    <s v="2024-09-09"/>
    <x v="11"/>
    <n v="2024"/>
    <x v="3"/>
    <x v="3"/>
    <s v="Customer_27"/>
    <x v="5"/>
    <n v="885"/>
    <n v="1.5"/>
    <n v="1327.5"/>
    <n v="1.03"/>
    <n v="911.55"/>
    <x v="966"/>
  </r>
  <r>
    <n v="976"/>
    <s v="2024-05-13"/>
    <x v="7"/>
    <n v="2024"/>
    <x v="3"/>
    <x v="3"/>
    <s v="Customer_23"/>
    <x v="19"/>
    <n v="761"/>
    <n v="1.36"/>
    <n v="1034.96"/>
    <n v="0.93"/>
    <n v="707.73"/>
    <x v="967"/>
  </r>
  <r>
    <n v="977"/>
    <s v="2024-02-28"/>
    <x v="4"/>
    <n v="2024"/>
    <x v="0"/>
    <x v="1"/>
    <s v="Customer_72"/>
    <x v="6"/>
    <n v="4484"/>
    <n v="0.98"/>
    <n v="4394.32"/>
    <n v="0.67"/>
    <n v="3004.28"/>
    <x v="968"/>
  </r>
  <r>
    <n v="978"/>
    <s v="2024-06-30"/>
    <x v="8"/>
    <n v="2024"/>
    <x v="2"/>
    <x v="0"/>
    <s v="Customer_20"/>
    <x v="19"/>
    <n v="1353"/>
    <n v="1.29"/>
    <n v="1745.37"/>
    <n v="1.07"/>
    <n v="1447.71"/>
    <x v="969"/>
  </r>
  <r>
    <n v="979"/>
    <s v="2024-08-12"/>
    <x v="9"/>
    <n v="2024"/>
    <x v="0"/>
    <x v="2"/>
    <s v="Customer_14"/>
    <x v="18"/>
    <n v="1334"/>
    <n v="1.38"/>
    <n v="1840.92"/>
    <n v="0.84"/>
    <n v="1120.56"/>
    <x v="970"/>
  </r>
  <r>
    <n v="980"/>
    <s v="2024-02-23"/>
    <x v="4"/>
    <n v="2024"/>
    <x v="0"/>
    <x v="1"/>
    <s v="Customer_27"/>
    <x v="4"/>
    <n v="1786"/>
    <n v="1.31"/>
    <n v="2339.66"/>
    <n v="1.02"/>
    <n v="1821.72"/>
    <x v="971"/>
  </r>
  <r>
    <n v="981"/>
    <s v="2024-09-16"/>
    <x v="11"/>
    <n v="2024"/>
    <x v="0"/>
    <x v="2"/>
    <s v="Customer_20"/>
    <x v="4"/>
    <n v="3241"/>
    <n v="1.37"/>
    <n v="4440.17"/>
    <n v="0.86"/>
    <n v="2787.26"/>
    <x v="972"/>
  </r>
  <r>
    <n v="982"/>
    <s v="2024-04-13"/>
    <x v="10"/>
    <n v="2024"/>
    <x v="1"/>
    <x v="2"/>
    <s v="Customer_99"/>
    <x v="1"/>
    <n v="2509"/>
    <n v="1.38"/>
    <n v="3462.42"/>
    <n v="0.99"/>
    <n v="2483.91"/>
    <x v="973"/>
  </r>
  <r>
    <n v="983"/>
    <s v="2024-05-26"/>
    <x v="7"/>
    <n v="2024"/>
    <x v="0"/>
    <x v="1"/>
    <s v="Customer_35"/>
    <x v="4"/>
    <n v="3899"/>
    <n v="1.05"/>
    <n v="4093.95"/>
    <n v="0.8"/>
    <n v="3119.2"/>
    <x v="974"/>
  </r>
  <r>
    <n v="984"/>
    <s v="2024-03-18"/>
    <x v="3"/>
    <n v="2024"/>
    <x v="3"/>
    <x v="2"/>
    <s v="Customer_18"/>
    <x v="10"/>
    <n v="3886"/>
    <n v="1.44"/>
    <n v="5595.84"/>
    <n v="1.19"/>
    <n v="4624.34"/>
    <x v="975"/>
  </r>
  <r>
    <n v="985"/>
    <s v="2024-09-21"/>
    <x v="11"/>
    <n v="2024"/>
    <x v="0"/>
    <x v="3"/>
    <s v="Customer_57"/>
    <x v="3"/>
    <n v="581"/>
    <n v="1.3"/>
    <n v="755.3"/>
    <n v="0.95"/>
    <n v="551.95000000000005"/>
    <x v="976"/>
  </r>
  <r>
    <n v="986"/>
    <s v="2024-02-05"/>
    <x v="4"/>
    <n v="2024"/>
    <x v="2"/>
    <x v="0"/>
    <s v="Customer_41"/>
    <x v="13"/>
    <n v="1846"/>
    <n v="1.1000000000000001"/>
    <n v="2030.6"/>
    <n v="0.77"/>
    <n v="1421.42"/>
    <x v="977"/>
  </r>
  <r>
    <n v="987"/>
    <s v="2024-01-19"/>
    <x v="2"/>
    <n v="2024"/>
    <x v="0"/>
    <x v="1"/>
    <s v="Customer_81"/>
    <x v="19"/>
    <n v="2922"/>
    <n v="1.0900000000000001"/>
    <n v="3184.98"/>
    <n v="0.9"/>
    <n v="2629.8"/>
    <x v="978"/>
  </r>
  <r>
    <n v="988"/>
    <s v="2024-12-24"/>
    <x v="1"/>
    <n v="2024"/>
    <x v="2"/>
    <x v="3"/>
    <s v="Customer_45"/>
    <x v="1"/>
    <n v="2791"/>
    <n v="1.43"/>
    <n v="3991.13"/>
    <n v="1.08"/>
    <n v="3014.28"/>
    <x v="979"/>
  </r>
  <r>
    <n v="989"/>
    <s v="2024-03-16"/>
    <x v="3"/>
    <n v="2024"/>
    <x v="1"/>
    <x v="2"/>
    <s v="Customer_83"/>
    <x v="14"/>
    <n v="4959"/>
    <n v="1.24"/>
    <n v="6149.16"/>
    <n v="0.94"/>
    <n v="4661.46"/>
    <x v="980"/>
  </r>
  <r>
    <n v="990"/>
    <s v="2024-08-14"/>
    <x v="9"/>
    <n v="2024"/>
    <x v="1"/>
    <x v="3"/>
    <s v="Customer_100"/>
    <x v="14"/>
    <n v="2970"/>
    <n v="0.86"/>
    <n v="2554.1999999999998"/>
    <n v="0.63"/>
    <n v="1871.1"/>
    <x v="981"/>
  </r>
  <r>
    <n v="991"/>
    <s v="2024-07-18"/>
    <x v="6"/>
    <n v="2024"/>
    <x v="2"/>
    <x v="1"/>
    <s v="Customer_28"/>
    <x v="15"/>
    <n v="4691"/>
    <n v="1.19"/>
    <n v="5582.29"/>
    <n v="0.87"/>
    <n v="4081.17"/>
    <x v="982"/>
  </r>
  <r>
    <n v="992"/>
    <s v="2024-11-21"/>
    <x v="0"/>
    <n v="2024"/>
    <x v="0"/>
    <x v="1"/>
    <s v="Customer_4"/>
    <x v="5"/>
    <n v="2619"/>
    <n v="0.97"/>
    <n v="2540.4299999999998"/>
    <n v="0.77"/>
    <n v="2016.63"/>
    <x v="983"/>
  </r>
  <r>
    <n v="993"/>
    <s v="2024-08-04"/>
    <x v="9"/>
    <n v="2024"/>
    <x v="0"/>
    <x v="0"/>
    <s v="Customer_48"/>
    <x v="0"/>
    <n v="4657"/>
    <n v="1.05"/>
    <n v="4889.8500000000004"/>
    <n v="0.64"/>
    <n v="2980.48"/>
    <x v="984"/>
  </r>
  <r>
    <n v="994"/>
    <s v="2024-11-29"/>
    <x v="0"/>
    <n v="2024"/>
    <x v="1"/>
    <x v="0"/>
    <s v="Customer_39"/>
    <x v="8"/>
    <n v="542"/>
    <n v="1.1200000000000001"/>
    <n v="607.04"/>
    <n v="0.95"/>
    <n v="514.9"/>
    <x v="985"/>
  </r>
  <r>
    <n v="995"/>
    <s v="2024-10-24"/>
    <x v="5"/>
    <n v="2024"/>
    <x v="2"/>
    <x v="1"/>
    <s v="Customer_39"/>
    <x v="11"/>
    <n v="1646"/>
    <n v="1.3"/>
    <n v="2139.8000000000002"/>
    <n v="0.95"/>
    <n v="1563.7"/>
    <x v="986"/>
  </r>
  <r>
    <n v="996"/>
    <s v="2024-05-06"/>
    <x v="7"/>
    <n v="2024"/>
    <x v="2"/>
    <x v="0"/>
    <s v="Customer_67"/>
    <x v="8"/>
    <n v="2077"/>
    <n v="1.38"/>
    <n v="2866.26"/>
    <n v="0.95"/>
    <n v="1973.15"/>
    <x v="987"/>
  </r>
  <r>
    <n v="997"/>
    <s v="2024-02-20"/>
    <x v="4"/>
    <n v="2024"/>
    <x v="1"/>
    <x v="1"/>
    <s v="Customer_53"/>
    <x v="15"/>
    <n v="1255"/>
    <n v="0.84"/>
    <n v="1054.2"/>
    <n v="0.69"/>
    <n v="865.95"/>
    <x v="988"/>
  </r>
  <r>
    <n v="998"/>
    <s v="2024-08-31"/>
    <x v="9"/>
    <n v="2024"/>
    <x v="1"/>
    <x v="1"/>
    <s v="Customer_10"/>
    <x v="4"/>
    <n v="4811"/>
    <n v="1.08"/>
    <n v="5195.88"/>
    <n v="0.8"/>
    <n v="3848.8"/>
    <x v="989"/>
  </r>
  <r>
    <n v="999"/>
    <s v="2024-07-21"/>
    <x v="6"/>
    <n v="2024"/>
    <x v="1"/>
    <x v="3"/>
    <s v="Customer_82"/>
    <x v="10"/>
    <n v="4105"/>
    <n v="1.28"/>
    <n v="5254.4"/>
    <n v="1.07"/>
    <n v="4392.3500000000004"/>
    <x v="990"/>
  </r>
  <r>
    <n v="1000"/>
    <s v="2024-08-01"/>
    <x v="9"/>
    <n v="2024"/>
    <x v="3"/>
    <x v="1"/>
    <s v="Customer_65"/>
    <x v="3"/>
    <n v="4471"/>
    <n v="1.3"/>
    <n v="5812.3"/>
    <n v="0.82"/>
    <n v="3666.22"/>
    <x v="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64D0E1-84FC-408D-A243-D1499B5FCB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0:C61" firstHeaderRow="0" firstDataRow="1" firstDataCol="1"/>
  <pivotFields count="14">
    <pivotField showAll="0"/>
    <pivotField showAll="0"/>
    <pivotField showAll="0">
      <items count="13">
        <item x="2"/>
        <item x="4"/>
        <item x="3"/>
        <item x="10"/>
        <item x="7"/>
        <item x="8"/>
        <item x="6"/>
        <item x="9"/>
        <item x="11"/>
        <item x="5"/>
        <item x="0"/>
        <item x="1"/>
        <item t="default"/>
      </items>
    </pivotField>
    <pivotField showAll="0"/>
    <pivotField showAll="0">
      <items count="5">
        <item x="2"/>
        <item x="0"/>
        <item x="3"/>
        <item x="1"/>
        <item t="default"/>
      </items>
    </pivotField>
    <pivotField showAll="0">
      <items count="5">
        <item x="1"/>
        <item x="3"/>
        <item x="2"/>
        <item x="0"/>
        <item t="default"/>
      </items>
    </pivotField>
    <pivotField showAll="0"/>
    <pivotField axis="axisRow" showAll="0">
      <items count="21">
        <item x="1"/>
        <item x="11"/>
        <item x="16"/>
        <item x="4"/>
        <item x="13"/>
        <item x="10"/>
        <item x="2"/>
        <item x="12"/>
        <item x="19"/>
        <item x="5"/>
        <item x="8"/>
        <item x="7"/>
        <item x="18"/>
        <item x="15"/>
        <item x="17"/>
        <item x="3"/>
        <item x="9"/>
        <item x="14"/>
        <item x="6"/>
        <item x="0"/>
        <item t="default"/>
      </items>
    </pivotField>
    <pivotField showAll="0"/>
    <pivotField showAll="0"/>
    <pivotField dataField="1" showAll="0"/>
    <pivotField showAll="0"/>
    <pivotField showAll="0"/>
    <pivotField dataField="1" showAll="0">
      <items count="993">
        <item x="379"/>
        <item x="957"/>
        <item x="58"/>
        <item x="985"/>
        <item x="35"/>
        <item x="501"/>
        <item x="542"/>
        <item x="670"/>
        <item x="297"/>
        <item x="702"/>
        <item x="121"/>
        <item x="961"/>
        <item x="459"/>
        <item x="454"/>
        <item x="897"/>
        <item x="949"/>
        <item x="498"/>
        <item x="381"/>
        <item x="157"/>
        <item x="359"/>
        <item x="952"/>
        <item x="709"/>
        <item x="262"/>
        <item x="719"/>
        <item x="27"/>
        <item x="861"/>
        <item x="329"/>
        <item x="822"/>
        <item x="273"/>
        <item x="234"/>
        <item x="70"/>
        <item x="141"/>
        <item x="535"/>
        <item x="612"/>
        <item x="699"/>
        <item x="558"/>
        <item x="988"/>
        <item x="772"/>
        <item x="609"/>
        <item x="742"/>
        <item x="743"/>
        <item x="640"/>
        <item x="696"/>
        <item x="868"/>
        <item x="470"/>
        <item x="976"/>
        <item x="477"/>
        <item x="533"/>
        <item x="308"/>
        <item x="424"/>
        <item x="235"/>
        <item x="840"/>
        <item x="691"/>
        <item x="378"/>
        <item x="435"/>
        <item x="284"/>
        <item x="538"/>
        <item x="658"/>
        <item x="795"/>
        <item x="722"/>
        <item x="922"/>
        <item x="600"/>
        <item x="796"/>
        <item x="402"/>
        <item x="313"/>
        <item x="812"/>
        <item x="514"/>
        <item x="331"/>
        <item x="889"/>
        <item x="306"/>
        <item x="617"/>
        <item x="405"/>
        <item x="25"/>
        <item x="813"/>
        <item x="192"/>
        <item x="883"/>
        <item x="126"/>
        <item x="520"/>
        <item x="328"/>
        <item x="145"/>
        <item x="908"/>
        <item x="117"/>
        <item x="761"/>
        <item x="163"/>
        <item x="426"/>
        <item x="779"/>
        <item x="782"/>
        <item x="529"/>
        <item x="164"/>
        <item x="144"/>
        <item x="516"/>
        <item x="94"/>
        <item x="906"/>
        <item x="414"/>
        <item x="754"/>
        <item x="810"/>
        <item x="910"/>
        <item x="353"/>
        <item x="21"/>
        <item x="229"/>
        <item x="430"/>
        <item x="851"/>
        <item x="576"/>
        <item x="449"/>
        <item x="203"/>
        <item x="18"/>
        <item x="224"/>
        <item x="236"/>
        <item x="147"/>
        <item x="717"/>
        <item x="173"/>
        <item x="339"/>
        <item x="38"/>
        <item x="729"/>
        <item x="800"/>
        <item x="480"/>
        <item x="179"/>
        <item x="969"/>
        <item x="778"/>
        <item x="324"/>
        <item x="759"/>
        <item x="40"/>
        <item x="545"/>
        <item x="642"/>
        <item x="686"/>
        <item x="679"/>
        <item x="849"/>
        <item x="727"/>
        <item x="769"/>
        <item x="315"/>
        <item x="351"/>
        <item x="372"/>
        <item x="767"/>
        <item x="818"/>
        <item x="746"/>
        <item x="195"/>
        <item x="697"/>
        <item x="871"/>
        <item x="15"/>
        <item x="162"/>
        <item x="178"/>
        <item x="467"/>
        <item x="503"/>
        <item x="967"/>
        <item x="193"/>
        <item x="823"/>
        <item x="944"/>
        <item x="61"/>
        <item x="1"/>
        <item x="442"/>
        <item x="483"/>
        <item x="19"/>
        <item x="856"/>
        <item x="904"/>
        <item x="756"/>
        <item x="775"/>
        <item x="373"/>
        <item x="848"/>
        <item x="466"/>
        <item x="692"/>
        <item x="253"/>
        <item x="83"/>
        <item x="791"/>
        <item x="188"/>
        <item x="128"/>
        <item x="651"/>
        <item x="602"/>
        <item x="327"/>
        <item x="931"/>
        <item x="858"/>
        <item x="712"/>
        <item x="44"/>
        <item x="269"/>
        <item x="266"/>
        <item x="591"/>
        <item x="698"/>
        <item x="17"/>
        <item x="573"/>
        <item x="205"/>
        <item x="452"/>
        <item x="548"/>
        <item x="870"/>
        <item x="383"/>
        <item x="389"/>
        <item x="246"/>
        <item x="130"/>
        <item x="78"/>
        <item x="73"/>
        <item x="237"/>
        <item x="799"/>
        <item x="286"/>
        <item x="440"/>
        <item x="654"/>
        <item x="620"/>
        <item x="636"/>
        <item x="201"/>
        <item x="939"/>
        <item x="857"/>
        <item x="793"/>
        <item x="42"/>
        <item x="629"/>
        <item x="876"/>
        <item x="87"/>
        <item x="316"/>
        <item x="290"/>
        <item x="667"/>
        <item x="911"/>
        <item x="105"/>
        <item x="556"/>
        <item x="512"/>
        <item x="24"/>
        <item x="36"/>
        <item x="416"/>
        <item x="966"/>
        <item x="866"/>
        <item x="357"/>
        <item x="614"/>
        <item x="831"/>
        <item x="833"/>
        <item x="103"/>
        <item x="732"/>
        <item x="532"/>
        <item x="563"/>
        <item x="471"/>
        <item x="739"/>
        <item x="896"/>
        <item x="411"/>
        <item x="417"/>
        <item x="798"/>
        <item x="530"/>
        <item x="69"/>
        <item x="738"/>
        <item x="419"/>
        <item x="701"/>
        <item x="647"/>
        <item x="95"/>
        <item x="561"/>
        <item x="337"/>
        <item x="913"/>
        <item x="296"/>
        <item x="582"/>
        <item x="32"/>
        <item x="57"/>
        <item x="625"/>
        <item x="632"/>
        <item x="914"/>
        <item x="366"/>
        <item x="344"/>
        <item x="587"/>
        <item x="474"/>
        <item x="837"/>
        <item x="232"/>
        <item x="645"/>
        <item x="890"/>
        <item x="469"/>
        <item x="279"/>
        <item x="947"/>
        <item x="552"/>
        <item x="460"/>
        <item x="707"/>
        <item x="461"/>
        <item x="875"/>
        <item x="289"/>
        <item x="950"/>
        <item x="682"/>
        <item x="567"/>
        <item x="954"/>
        <item x="539"/>
        <item x="574"/>
        <item x="14"/>
        <item x="590"/>
        <item x="340"/>
        <item x="439"/>
        <item x="245"/>
        <item x="82"/>
        <item x="398"/>
        <item x="653"/>
        <item x="909"/>
        <item x="134"/>
        <item x="168"/>
        <item x="540"/>
        <item x="903"/>
        <item x="148"/>
        <item x="803"/>
        <item x="180"/>
        <item x="583"/>
        <item x="386"/>
        <item x="98"/>
        <item x="971"/>
        <item x="488"/>
        <item x="77"/>
        <item x="917"/>
        <item x="781"/>
        <item x="102"/>
        <item x="808"/>
        <item x="363"/>
        <item x="983"/>
        <item x="509"/>
        <item x="0"/>
        <item x="142"/>
        <item x="755"/>
        <item x="258"/>
        <item x="349"/>
        <item x="221"/>
        <item x="598"/>
        <item x="885"/>
        <item x="733"/>
        <item x="588"/>
        <item x="472"/>
        <item x="436"/>
        <item x="361"/>
        <item x="783"/>
        <item x="43"/>
        <item x="352"/>
        <item x="484"/>
        <item x="564"/>
        <item x="468"/>
        <item x="360"/>
        <item x="382"/>
        <item x="275"/>
        <item x="872"/>
        <item x="978"/>
        <item x="368"/>
        <item x="444"/>
        <item x="700"/>
        <item x="341"/>
        <item x="766"/>
        <item x="241"/>
        <item x="307"/>
        <item x="106"/>
        <item x="166"/>
        <item x="334"/>
        <item x="619"/>
        <item x="186"/>
        <item x="287"/>
        <item x="986"/>
        <item x="624"/>
        <item x="46"/>
        <item x="660"/>
        <item x="293"/>
        <item x="23"/>
        <item x="807"/>
        <item x="423"/>
        <item x="395"/>
        <item x="74"/>
        <item x="657"/>
        <item x="343"/>
        <item x="527"/>
        <item x="920"/>
        <item x="403"/>
        <item x="595"/>
        <item x="575"/>
        <item x="158"/>
        <item x="365"/>
        <item x="685"/>
        <item x="747"/>
        <item x="955"/>
        <item x="865"/>
        <item x="977"/>
        <item x="160"/>
        <item x="48"/>
        <item x="519"/>
        <item x="677"/>
        <item x="390"/>
        <item x="770"/>
        <item x="427"/>
        <item x="948"/>
        <item x="295"/>
        <item x="741"/>
        <item x="51"/>
        <item x="494"/>
        <item x="256"/>
        <item x="846"/>
        <item x="771"/>
        <item x="789"/>
        <item x="60"/>
        <item x="260"/>
        <item x="407"/>
        <item x="453"/>
        <item x="465"/>
        <item x="611"/>
        <item x="666"/>
        <item x="9"/>
        <item x="549"/>
        <item x="962"/>
        <item x="216"/>
        <item x="902"/>
        <item x="518"/>
        <item x="805"/>
        <item x="521"/>
        <item x="364"/>
        <item x="418"/>
        <item x="169"/>
        <item x="882"/>
        <item x="794"/>
        <item x="850"/>
        <item x="809"/>
        <item x="927"/>
        <item x="432"/>
        <item x="695"/>
        <item x="570"/>
        <item x="101"/>
        <item x="905"/>
        <item x="400"/>
        <item x="716"/>
        <item x="935"/>
        <item x="7"/>
        <item x="159"/>
        <item x="8"/>
        <item x="431"/>
        <item x="981"/>
        <item x="663"/>
        <item x="814"/>
        <item x="67"/>
        <item x="819"/>
        <item x="210"/>
        <item x="41"/>
        <item x="75"/>
        <item x="585"/>
        <item x="581"/>
        <item x="953"/>
        <item x="643"/>
        <item x="830"/>
        <item x="227"/>
        <item x="694"/>
        <item x="854"/>
        <item x="45"/>
        <item x="171"/>
        <item x="370"/>
        <item x="413"/>
        <item x="678"/>
        <item x="622"/>
        <item x="265"/>
        <item x="451"/>
        <item x="536"/>
        <item x="898"/>
        <item x="855"/>
        <item x="12"/>
        <item x="504"/>
        <item x="970"/>
        <item x="958"/>
        <item x="184"/>
        <item x="554"/>
        <item x="104"/>
        <item x="790"/>
        <item x="485"/>
        <item x="553"/>
        <item x="475"/>
        <item x="895"/>
        <item x="305"/>
        <item x="887"/>
        <item x="336"/>
        <item x="47"/>
        <item x="208"/>
        <item x="859"/>
        <item x="801"/>
        <item x="317"/>
        <item x="311"/>
        <item x="358"/>
        <item x="181"/>
        <item x="878"/>
        <item x="933"/>
        <item x="843"/>
        <item x="153"/>
        <item x="731"/>
        <item x="54"/>
        <item x="635"/>
        <item x="956"/>
        <item x="845"/>
        <item x="785"/>
        <item x="776"/>
        <item x="282"/>
        <item x="213"/>
        <item x="599"/>
        <item x="780"/>
        <item x="934"/>
        <item x="338"/>
        <item x="354"/>
        <item x="749"/>
        <item x="22"/>
        <item x="377"/>
        <item x="491"/>
        <item x="176"/>
        <item x="215"/>
        <item x="723"/>
        <item x="900"/>
        <item x="4"/>
        <item x="10"/>
        <item x="29"/>
        <item x="244"/>
        <item x="88"/>
        <item x="6"/>
        <item x="150"/>
        <item x="422"/>
        <item x="597"/>
        <item x="346"/>
        <item x="155"/>
        <item x="711"/>
        <item x="829"/>
        <item x="110"/>
        <item x="724"/>
        <item x="191"/>
        <item x="393"/>
        <item x="387"/>
        <item x="376"/>
        <item x="637"/>
        <item x="546"/>
        <item x="283"/>
        <item x="450"/>
        <item x="59"/>
        <item x="547"/>
        <item x="322"/>
        <item x="608"/>
        <item x="613"/>
        <item x="907"/>
        <item x="182"/>
        <item x="893"/>
        <item x="64"/>
        <item x="50"/>
        <item x="721"/>
        <item x="445"/>
        <item x="76"/>
        <item x="319"/>
        <item x="990"/>
        <item x="276"/>
        <item x="511"/>
        <item x="631"/>
        <item x="280"/>
        <item x="92"/>
        <item x="223"/>
        <item x="325"/>
        <item x="525"/>
        <item x="566"/>
        <item x="68"/>
        <item x="189"/>
        <item x="170"/>
        <item x="371"/>
        <item x="689"/>
        <item x="321"/>
        <item x="97"/>
        <item x="11"/>
        <item x="589"/>
        <item x="34"/>
        <item x="99"/>
        <item x="941"/>
        <item x="462"/>
        <item x="249"/>
        <item x="199"/>
        <item x="987"/>
        <item x="841"/>
        <item x="254"/>
        <item x="661"/>
        <item x="392"/>
        <item x="187"/>
        <item x="115"/>
        <item x="502"/>
        <item x="473"/>
        <item x="544"/>
        <item x="938"/>
        <item x="72"/>
        <item x="820"/>
        <item x="892"/>
        <item x="606"/>
        <item x="415"/>
        <item x="31"/>
        <item x="300"/>
        <item x="937"/>
        <item x="773"/>
        <item x="673"/>
        <item x="251"/>
        <item x="52"/>
        <item x="765"/>
        <item x="797"/>
        <item x="919"/>
        <item x="56"/>
        <item x="652"/>
        <item x="140"/>
        <item x="572"/>
        <item x="28"/>
        <item x="323"/>
        <item x="80"/>
        <item x="768"/>
        <item x="86"/>
        <item x="196"/>
        <item x="71"/>
        <item x="524"/>
        <item x="603"/>
        <item x="683"/>
        <item x="261"/>
        <item x="925"/>
        <item x="596"/>
        <item x="429"/>
        <item x="369"/>
        <item x="580"/>
        <item x="412"/>
        <item x="960"/>
        <item x="693"/>
        <item x="355"/>
        <item x="154"/>
        <item x="836"/>
        <item x="762"/>
        <item x="884"/>
        <item x="975"/>
        <item x="664"/>
        <item x="242"/>
        <item x="534"/>
        <item x="974"/>
        <item x="222"/>
        <item x="710"/>
        <item x="979"/>
        <item x="211"/>
        <item x="973"/>
        <item x="806"/>
        <item x="584"/>
        <item x="204"/>
        <item x="401"/>
        <item x="198"/>
        <item x="152"/>
        <item x="821"/>
        <item x="5"/>
        <item x="309"/>
        <item x="489"/>
        <item x="852"/>
        <item x="886"/>
        <item x="487"/>
        <item x="705"/>
        <item x="943"/>
        <item x="362"/>
        <item x="425"/>
        <item x="438"/>
        <item x="212"/>
        <item x="63"/>
        <item x="39"/>
        <item x="463"/>
        <item x="214"/>
        <item x="167"/>
        <item x="862"/>
        <item x="114"/>
        <item x="649"/>
        <item x="834"/>
        <item x="233"/>
        <item x="367"/>
        <item x="959"/>
        <item x="867"/>
        <item x="156"/>
        <item x="760"/>
        <item x="559"/>
        <item x="923"/>
        <item x="634"/>
        <item x="225"/>
        <item x="374"/>
        <item x="448"/>
        <item x="320"/>
        <item x="838"/>
        <item x="802"/>
        <item x="688"/>
        <item x="675"/>
        <item x="550"/>
        <item x="648"/>
        <item x="268"/>
        <item x="108"/>
        <item x="271"/>
        <item x="734"/>
        <item x="3"/>
        <item x="81"/>
        <item x="714"/>
        <item x="764"/>
        <item x="715"/>
        <item x="65"/>
        <item x="85"/>
        <item x="671"/>
        <item x="777"/>
        <item x="571"/>
        <item x="456"/>
        <item x="506"/>
        <item x="447"/>
        <item x="420"/>
        <item x="197"/>
        <item x="285"/>
        <item x="209"/>
        <item x="267"/>
        <item x="247"/>
        <item x="303"/>
        <item x="30"/>
        <item x="421"/>
        <item x="926"/>
        <item x="132"/>
        <item x="458"/>
        <item x="646"/>
        <item x="523"/>
        <item x="946"/>
        <item x="91"/>
        <item x="507"/>
        <item x="891"/>
        <item x="639"/>
        <item x="281"/>
        <item x="826"/>
        <item x="53"/>
        <item x="522"/>
        <item x="312"/>
        <item x="942"/>
        <item x="137"/>
        <item x="708"/>
        <item x="217"/>
        <item x="763"/>
        <item x="930"/>
        <item x="250"/>
        <item x="526"/>
        <item x="492"/>
        <item x="945"/>
        <item x="713"/>
        <item x="93"/>
        <item x="505"/>
        <item x="270"/>
        <item x="151"/>
        <item x="194"/>
        <item x="314"/>
        <item x="457"/>
        <item x="226"/>
        <item x="433"/>
        <item x="228"/>
        <item x="965"/>
        <item x="565"/>
        <item x="350"/>
        <item x="443"/>
        <item x="804"/>
        <item x="932"/>
        <item x="726"/>
        <item x="479"/>
        <item x="257"/>
        <item x="628"/>
        <item x="508"/>
        <item x="455"/>
        <item x="656"/>
        <item x="751"/>
        <item x="869"/>
        <item x="172"/>
        <item x="113"/>
        <item x="495"/>
        <item x="408"/>
        <item x="112"/>
        <item x="118"/>
        <item x="206"/>
        <item x="131"/>
        <item x="586"/>
        <item x="274"/>
        <item x="594"/>
        <item x="493"/>
        <item x="406"/>
        <item x="220"/>
        <item x="615"/>
        <item x="916"/>
        <item x="860"/>
        <item x="185"/>
        <item x="963"/>
        <item x="531"/>
        <item x="175"/>
        <item x="120"/>
        <item x="662"/>
        <item x="874"/>
        <item x="569"/>
        <item x="434"/>
        <item x="318"/>
        <item x="302"/>
        <item x="623"/>
        <item x="100"/>
        <item x="404"/>
        <item x="219"/>
        <item x="291"/>
        <item x="543"/>
        <item x="165"/>
        <item x="579"/>
        <item x="399"/>
        <item x="139"/>
        <item x="894"/>
        <item x="332"/>
        <item x="510"/>
        <item x="33"/>
        <item x="881"/>
        <item x="633"/>
        <item x="127"/>
        <item x="161"/>
        <item x="272"/>
        <item x="437"/>
        <item x="844"/>
        <item x="133"/>
        <item x="410"/>
        <item x="380"/>
        <item x="248"/>
        <item x="26"/>
        <item x="243"/>
        <item x="513"/>
        <item x="174"/>
        <item x="578"/>
        <item x="388"/>
        <item x="989"/>
        <item x="499"/>
        <item x="964"/>
        <item x="394"/>
        <item x="20"/>
        <item x="384"/>
        <item x="936"/>
        <item x="55"/>
        <item x="207"/>
        <item x="788"/>
        <item x="294"/>
        <item x="811"/>
        <item x="230"/>
        <item x="333"/>
        <item x="89"/>
        <item x="968"/>
        <item x="951"/>
        <item x="348"/>
        <item x="655"/>
        <item x="659"/>
        <item x="921"/>
        <item x="541"/>
        <item x="143"/>
        <item x="326"/>
        <item x="560"/>
        <item x="396"/>
        <item x="626"/>
        <item x="515"/>
        <item x="674"/>
        <item x="690"/>
        <item x="555"/>
        <item x="730"/>
        <item x="62"/>
        <item x="669"/>
        <item x="107"/>
        <item x="672"/>
        <item x="330"/>
        <item x="13"/>
        <item x="310"/>
        <item x="740"/>
        <item x="96"/>
        <item x="839"/>
        <item x="345"/>
        <item x="665"/>
        <item x="980"/>
        <item x="218"/>
        <item x="641"/>
        <item x="720"/>
        <item x="301"/>
        <item x="183"/>
        <item x="409"/>
        <item x="109"/>
        <item x="568"/>
        <item x="982"/>
        <item x="537"/>
        <item x="482"/>
        <item x="735"/>
        <item x="863"/>
        <item x="342"/>
        <item x="879"/>
        <item x="122"/>
        <item x="786"/>
        <item x="880"/>
        <item x="2"/>
        <item x="239"/>
        <item x="787"/>
        <item x="757"/>
        <item x="347"/>
        <item x="644"/>
        <item x="748"/>
        <item x="252"/>
        <item x="828"/>
        <item x="490"/>
        <item x="873"/>
        <item x="90"/>
        <item x="744"/>
        <item x="119"/>
        <item x="37"/>
        <item x="397"/>
        <item x="190"/>
        <item x="592"/>
        <item x="864"/>
        <item x="124"/>
        <item x="557"/>
        <item x="255"/>
        <item x="817"/>
        <item x="202"/>
        <item x="940"/>
        <item x="79"/>
        <item x="304"/>
        <item x="758"/>
        <item x="66"/>
        <item x="815"/>
        <item x="146"/>
        <item x="972"/>
        <item x="929"/>
        <item x="728"/>
        <item x="123"/>
        <item x="737"/>
        <item x="668"/>
        <item x="136"/>
        <item x="621"/>
        <item x="476"/>
        <item x="687"/>
        <item x="278"/>
        <item x="745"/>
        <item x="240"/>
        <item x="129"/>
        <item x="464"/>
        <item x="784"/>
        <item x="391"/>
        <item x="49"/>
        <item x="684"/>
        <item x="753"/>
        <item x="877"/>
        <item x="924"/>
        <item x="500"/>
        <item x="832"/>
        <item x="263"/>
        <item x="918"/>
        <item x="618"/>
        <item x="446"/>
        <item x="676"/>
        <item x="928"/>
        <item x="231"/>
        <item x="901"/>
        <item x="827"/>
        <item x="385"/>
        <item x="259"/>
        <item x="888"/>
        <item x="718"/>
        <item x="264"/>
        <item x="496"/>
        <item x="200"/>
        <item x="601"/>
        <item x="238"/>
        <item x="138"/>
        <item x="725"/>
        <item x="577"/>
        <item x="616"/>
        <item x="853"/>
        <item x="681"/>
        <item x="292"/>
        <item x="912"/>
        <item x="703"/>
        <item x="792"/>
        <item x="125"/>
        <item x="528"/>
        <item x="984"/>
        <item x="604"/>
        <item x="277"/>
        <item x="478"/>
        <item x="562"/>
        <item x="356"/>
        <item x="486"/>
        <item x="335"/>
        <item x="298"/>
        <item x="149"/>
        <item x="375"/>
        <item x="774"/>
        <item x="630"/>
        <item x="605"/>
        <item x="135"/>
        <item x="706"/>
        <item x="816"/>
        <item x="16"/>
        <item x="428"/>
        <item x="607"/>
        <item x="627"/>
        <item x="704"/>
        <item x="84"/>
        <item x="551"/>
        <item x="750"/>
        <item x="991"/>
        <item x="825"/>
        <item x="752"/>
        <item x="116"/>
        <item x="481"/>
        <item x="111"/>
        <item x="288"/>
        <item x="177"/>
        <item x="736"/>
        <item x="299"/>
        <item x="517"/>
        <item x="915"/>
        <item x="835"/>
        <item x="899"/>
        <item x="638"/>
        <item x="497"/>
        <item x="441"/>
        <item x="610"/>
        <item x="650"/>
        <item x="593"/>
        <item x="847"/>
        <item x="680"/>
        <item x="842"/>
        <item x="824"/>
        <item t="default"/>
      </items>
    </pivotField>
  </pivotFields>
  <rowFields count="1">
    <field x="7"/>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Revenue" fld="10" baseField="0" baseItem="0"/>
    <dataField name="Sum of Profit" fld="1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BD30B2-F960-4AE1-9530-C3F621E8925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4:B37" firstHeaderRow="1" firstDataRow="1" firstDataCol="1"/>
  <pivotFields count="14">
    <pivotField showAll="0"/>
    <pivotField showAll="0"/>
    <pivotField axis="axisRow" showAll="0">
      <items count="13">
        <item x="2"/>
        <item x="4"/>
        <item x="3"/>
        <item x="10"/>
        <item x="7"/>
        <item x="8"/>
        <item x="6"/>
        <item x="9"/>
        <item x="11"/>
        <item x="5"/>
        <item x="0"/>
        <item x="1"/>
        <item t="default"/>
      </items>
    </pivotField>
    <pivotField showAll="0"/>
    <pivotField showAll="0">
      <items count="5">
        <item x="2"/>
        <item x="0"/>
        <item x="3"/>
        <item x="1"/>
        <item t="default"/>
      </items>
    </pivotField>
    <pivotField showAll="0">
      <items count="5">
        <item x="1"/>
        <item x="3"/>
        <item x="2"/>
        <item x="0"/>
        <item t="default"/>
      </items>
    </pivotField>
    <pivotField showAll="0"/>
    <pivotField showAll="0"/>
    <pivotField showAll="0"/>
    <pivotField showAll="0"/>
    <pivotField dataField="1" showAll="0"/>
    <pivotField showAll="0"/>
    <pivotField showAll="0"/>
    <pivotField showAll="0">
      <items count="993">
        <item x="379"/>
        <item x="957"/>
        <item x="58"/>
        <item x="985"/>
        <item x="35"/>
        <item x="501"/>
        <item x="542"/>
        <item x="670"/>
        <item x="297"/>
        <item x="702"/>
        <item x="121"/>
        <item x="961"/>
        <item x="459"/>
        <item x="454"/>
        <item x="897"/>
        <item x="949"/>
        <item x="498"/>
        <item x="381"/>
        <item x="157"/>
        <item x="359"/>
        <item x="952"/>
        <item x="709"/>
        <item x="262"/>
        <item x="719"/>
        <item x="27"/>
        <item x="861"/>
        <item x="329"/>
        <item x="822"/>
        <item x="273"/>
        <item x="234"/>
        <item x="70"/>
        <item x="141"/>
        <item x="535"/>
        <item x="612"/>
        <item x="699"/>
        <item x="558"/>
        <item x="988"/>
        <item x="772"/>
        <item x="609"/>
        <item x="742"/>
        <item x="743"/>
        <item x="640"/>
        <item x="696"/>
        <item x="868"/>
        <item x="470"/>
        <item x="976"/>
        <item x="477"/>
        <item x="533"/>
        <item x="308"/>
        <item x="424"/>
        <item x="235"/>
        <item x="840"/>
        <item x="691"/>
        <item x="378"/>
        <item x="435"/>
        <item x="284"/>
        <item x="538"/>
        <item x="658"/>
        <item x="795"/>
        <item x="722"/>
        <item x="922"/>
        <item x="600"/>
        <item x="796"/>
        <item x="402"/>
        <item x="313"/>
        <item x="812"/>
        <item x="514"/>
        <item x="331"/>
        <item x="889"/>
        <item x="306"/>
        <item x="617"/>
        <item x="405"/>
        <item x="25"/>
        <item x="813"/>
        <item x="192"/>
        <item x="883"/>
        <item x="126"/>
        <item x="520"/>
        <item x="328"/>
        <item x="145"/>
        <item x="908"/>
        <item x="117"/>
        <item x="761"/>
        <item x="163"/>
        <item x="426"/>
        <item x="779"/>
        <item x="782"/>
        <item x="529"/>
        <item x="164"/>
        <item x="144"/>
        <item x="516"/>
        <item x="94"/>
        <item x="906"/>
        <item x="414"/>
        <item x="754"/>
        <item x="810"/>
        <item x="910"/>
        <item x="353"/>
        <item x="21"/>
        <item x="229"/>
        <item x="430"/>
        <item x="851"/>
        <item x="576"/>
        <item x="449"/>
        <item x="203"/>
        <item x="18"/>
        <item x="224"/>
        <item x="236"/>
        <item x="147"/>
        <item x="717"/>
        <item x="173"/>
        <item x="339"/>
        <item x="38"/>
        <item x="729"/>
        <item x="800"/>
        <item x="480"/>
        <item x="179"/>
        <item x="969"/>
        <item x="778"/>
        <item x="324"/>
        <item x="759"/>
        <item x="40"/>
        <item x="545"/>
        <item x="642"/>
        <item x="686"/>
        <item x="679"/>
        <item x="849"/>
        <item x="727"/>
        <item x="769"/>
        <item x="315"/>
        <item x="351"/>
        <item x="372"/>
        <item x="767"/>
        <item x="818"/>
        <item x="746"/>
        <item x="195"/>
        <item x="697"/>
        <item x="871"/>
        <item x="15"/>
        <item x="162"/>
        <item x="178"/>
        <item x="467"/>
        <item x="503"/>
        <item x="967"/>
        <item x="193"/>
        <item x="823"/>
        <item x="944"/>
        <item x="61"/>
        <item x="1"/>
        <item x="442"/>
        <item x="483"/>
        <item x="19"/>
        <item x="856"/>
        <item x="904"/>
        <item x="756"/>
        <item x="775"/>
        <item x="373"/>
        <item x="848"/>
        <item x="466"/>
        <item x="692"/>
        <item x="253"/>
        <item x="83"/>
        <item x="791"/>
        <item x="188"/>
        <item x="128"/>
        <item x="651"/>
        <item x="602"/>
        <item x="327"/>
        <item x="931"/>
        <item x="858"/>
        <item x="712"/>
        <item x="44"/>
        <item x="269"/>
        <item x="266"/>
        <item x="591"/>
        <item x="698"/>
        <item x="17"/>
        <item x="573"/>
        <item x="205"/>
        <item x="452"/>
        <item x="548"/>
        <item x="870"/>
        <item x="383"/>
        <item x="389"/>
        <item x="246"/>
        <item x="130"/>
        <item x="78"/>
        <item x="73"/>
        <item x="237"/>
        <item x="799"/>
        <item x="286"/>
        <item x="440"/>
        <item x="654"/>
        <item x="620"/>
        <item x="636"/>
        <item x="201"/>
        <item x="939"/>
        <item x="857"/>
        <item x="793"/>
        <item x="42"/>
        <item x="629"/>
        <item x="876"/>
        <item x="87"/>
        <item x="316"/>
        <item x="290"/>
        <item x="667"/>
        <item x="911"/>
        <item x="105"/>
        <item x="556"/>
        <item x="512"/>
        <item x="24"/>
        <item x="36"/>
        <item x="416"/>
        <item x="966"/>
        <item x="866"/>
        <item x="357"/>
        <item x="614"/>
        <item x="831"/>
        <item x="833"/>
        <item x="103"/>
        <item x="732"/>
        <item x="532"/>
        <item x="563"/>
        <item x="471"/>
        <item x="739"/>
        <item x="896"/>
        <item x="411"/>
        <item x="417"/>
        <item x="798"/>
        <item x="530"/>
        <item x="69"/>
        <item x="738"/>
        <item x="419"/>
        <item x="701"/>
        <item x="647"/>
        <item x="95"/>
        <item x="561"/>
        <item x="337"/>
        <item x="913"/>
        <item x="296"/>
        <item x="582"/>
        <item x="32"/>
        <item x="57"/>
        <item x="625"/>
        <item x="632"/>
        <item x="914"/>
        <item x="366"/>
        <item x="344"/>
        <item x="587"/>
        <item x="474"/>
        <item x="837"/>
        <item x="232"/>
        <item x="645"/>
        <item x="890"/>
        <item x="469"/>
        <item x="279"/>
        <item x="947"/>
        <item x="552"/>
        <item x="460"/>
        <item x="707"/>
        <item x="461"/>
        <item x="875"/>
        <item x="289"/>
        <item x="950"/>
        <item x="682"/>
        <item x="567"/>
        <item x="954"/>
        <item x="539"/>
        <item x="574"/>
        <item x="14"/>
        <item x="590"/>
        <item x="340"/>
        <item x="439"/>
        <item x="245"/>
        <item x="82"/>
        <item x="398"/>
        <item x="653"/>
        <item x="909"/>
        <item x="134"/>
        <item x="168"/>
        <item x="540"/>
        <item x="903"/>
        <item x="148"/>
        <item x="803"/>
        <item x="180"/>
        <item x="583"/>
        <item x="386"/>
        <item x="98"/>
        <item x="971"/>
        <item x="488"/>
        <item x="77"/>
        <item x="917"/>
        <item x="781"/>
        <item x="102"/>
        <item x="808"/>
        <item x="363"/>
        <item x="983"/>
        <item x="509"/>
        <item x="0"/>
        <item x="142"/>
        <item x="755"/>
        <item x="258"/>
        <item x="349"/>
        <item x="221"/>
        <item x="598"/>
        <item x="885"/>
        <item x="733"/>
        <item x="588"/>
        <item x="472"/>
        <item x="436"/>
        <item x="361"/>
        <item x="783"/>
        <item x="43"/>
        <item x="352"/>
        <item x="484"/>
        <item x="564"/>
        <item x="468"/>
        <item x="360"/>
        <item x="382"/>
        <item x="275"/>
        <item x="872"/>
        <item x="978"/>
        <item x="368"/>
        <item x="444"/>
        <item x="700"/>
        <item x="341"/>
        <item x="766"/>
        <item x="241"/>
        <item x="307"/>
        <item x="106"/>
        <item x="166"/>
        <item x="334"/>
        <item x="619"/>
        <item x="186"/>
        <item x="287"/>
        <item x="986"/>
        <item x="624"/>
        <item x="46"/>
        <item x="660"/>
        <item x="293"/>
        <item x="23"/>
        <item x="807"/>
        <item x="423"/>
        <item x="395"/>
        <item x="74"/>
        <item x="657"/>
        <item x="343"/>
        <item x="527"/>
        <item x="920"/>
        <item x="403"/>
        <item x="595"/>
        <item x="575"/>
        <item x="158"/>
        <item x="365"/>
        <item x="685"/>
        <item x="747"/>
        <item x="955"/>
        <item x="865"/>
        <item x="977"/>
        <item x="160"/>
        <item x="48"/>
        <item x="519"/>
        <item x="677"/>
        <item x="390"/>
        <item x="770"/>
        <item x="427"/>
        <item x="948"/>
        <item x="295"/>
        <item x="741"/>
        <item x="51"/>
        <item x="494"/>
        <item x="256"/>
        <item x="846"/>
        <item x="771"/>
        <item x="789"/>
        <item x="60"/>
        <item x="260"/>
        <item x="407"/>
        <item x="453"/>
        <item x="465"/>
        <item x="611"/>
        <item x="666"/>
        <item x="9"/>
        <item x="549"/>
        <item x="962"/>
        <item x="216"/>
        <item x="902"/>
        <item x="518"/>
        <item x="805"/>
        <item x="521"/>
        <item x="364"/>
        <item x="418"/>
        <item x="169"/>
        <item x="882"/>
        <item x="794"/>
        <item x="850"/>
        <item x="809"/>
        <item x="927"/>
        <item x="432"/>
        <item x="695"/>
        <item x="570"/>
        <item x="101"/>
        <item x="905"/>
        <item x="400"/>
        <item x="716"/>
        <item x="935"/>
        <item x="7"/>
        <item x="159"/>
        <item x="8"/>
        <item x="431"/>
        <item x="981"/>
        <item x="663"/>
        <item x="814"/>
        <item x="67"/>
        <item x="819"/>
        <item x="210"/>
        <item x="41"/>
        <item x="75"/>
        <item x="585"/>
        <item x="581"/>
        <item x="953"/>
        <item x="643"/>
        <item x="830"/>
        <item x="227"/>
        <item x="694"/>
        <item x="854"/>
        <item x="45"/>
        <item x="171"/>
        <item x="370"/>
        <item x="413"/>
        <item x="678"/>
        <item x="622"/>
        <item x="265"/>
        <item x="451"/>
        <item x="536"/>
        <item x="898"/>
        <item x="855"/>
        <item x="12"/>
        <item x="504"/>
        <item x="970"/>
        <item x="958"/>
        <item x="184"/>
        <item x="554"/>
        <item x="104"/>
        <item x="790"/>
        <item x="485"/>
        <item x="553"/>
        <item x="475"/>
        <item x="895"/>
        <item x="305"/>
        <item x="887"/>
        <item x="336"/>
        <item x="47"/>
        <item x="208"/>
        <item x="859"/>
        <item x="801"/>
        <item x="317"/>
        <item x="311"/>
        <item x="358"/>
        <item x="181"/>
        <item x="878"/>
        <item x="933"/>
        <item x="843"/>
        <item x="153"/>
        <item x="731"/>
        <item x="54"/>
        <item x="635"/>
        <item x="956"/>
        <item x="845"/>
        <item x="785"/>
        <item x="776"/>
        <item x="282"/>
        <item x="213"/>
        <item x="599"/>
        <item x="780"/>
        <item x="934"/>
        <item x="338"/>
        <item x="354"/>
        <item x="749"/>
        <item x="22"/>
        <item x="377"/>
        <item x="491"/>
        <item x="176"/>
        <item x="215"/>
        <item x="723"/>
        <item x="900"/>
        <item x="4"/>
        <item x="10"/>
        <item x="29"/>
        <item x="244"/>
        <item x="88"/>
        <item x="6"/>
        <item x="150"/>
        <item x="422"/>
        <item x="597"/>
        <item x="346"/>
        <item x="155"/>
        <item x="711"/>
        <item x="829"/>
        <item x="110"/>
        <item x="724"/>
        <item x="191"/>
        <item x="393"/>
        <item x="387"/>
        <item x="376"/>
        <item x="637"/>
        <item x="546"/>
        <item x="283"/>
        <item x="450"/>
        <item x="59"/>
        <item x="547"/>
        <item x="322"/>
        <item x="608"/>
        <item x="613"/>
        <item x="907"/>
        <item x="182"/>
        <item x="893"/>
        <item x="64"/>
        <item x="50"/>
        <item x="721"/>
        <item x="445"/>
        <item x="76"/>
        <item x="319"/>
        <item x="990"/>
        <item x="276"/>
        <item x="511"/>
        <item x="631"/>
        <item x="280"/>
        <item x="92"/>
        <item x="223"/>
        <item x="325"/>
        <item x="525"/>
        <item x="566"/>
        <item x="68"/>
        <item x="189"/>
        <item x="170"/>
        <item x="371"/>
        <item x="689"/>
        <item x="321"/>
        <item x="97"/>
        <item x="11"/>
        <item x="589"/>
        <item x="34"/>
        <item x="99"/>
        <item x="941"/>
        <item x="462"/>
        <item x="249"/>
        <item x="199"/>
        <item x="987"/>
        <item x="841"/>
        <item x="254"/>
        <item x="661"/>
        <item x="392"/>
        <item x="187"/>
        <item x="115"/>
        <item x="502"/>
        <item x="473"/>
        <item x="544"/>
        <item x="938"/>
        <item x="72"/>
        <item x="820"/>
        <item x="892"/>
        <item x="606"/>
        <item x="415"/>
        <item x="31"/>
        <item x="300"/>
        <item x="937"/>
        <item x="773"/>
        <item x="673"/>
        <item x="251"/>
        <item x="52"/>
        <item x="765"/>
        <item x="797"/>
        <item x="919"/>
        <item x="56"/>
        <item x="652"/>
        <item x="140"/>
        <item x="572"/>
        <item x="28"/>
        <item x="323"/>
        <item x="80"/>
        <item x="768"/>
        <item x="86"/>
        <item x="196"/>
        <item x="71"/>
        <item x="524"/>
        <item x="603"/>
        <item x="683"/>
        <item x="261"/>
        <item x="925"/>
        <item x="596"/>
        <item x="429"/>
        <item x="369"/>
        <item x="580"/>
        <item x="412"/>
        <item x="960"/>
        <item x="693"/>
        <item x="355"/>
        <item x="154"/>
        <item x="836"/>
        <item x="762"/>
        <item x="884"/>
        <item x="975"/>
        <item x="664"/>
        <item x="242"/>
        <item x="534"/>
        <item x="974"/>
        <item x="222"/>
        <item x="710"/>
        <item x="979"/>
        <item x="211"/>
        <item x="973"/>
        <item x="806"/>
        <item x="584"/>
        <item x="204"/>
        <item x="401"/>
        <item x="198"/>
        <item x="152"/>
        <item x="821"/>
        <item x="5"/>
        <item x="309"/>
        <item x="489"/>
        <item x="852"/>
        <item x="886"/>
        <item x="487"/>
        <item x="705"/>
        <item x="943"/>
        <item x="362"/>
        <item x="425"/>
        <item x="438"/>
        <item x="212"/>
        <item x="63"/>
        <item x="39"/>
        <item x="463"/>
        <item x="214"/>
        <item x="167"/>
        <item x="862"/>
        <item x="114"/>
        <item x="649"/>
        <item x="834"/>
        <item x="233"/>
        <item x="367"/>
        <item x="959"/>
        <item x="867"/>
        <item x="156"/>
        <item x="760"/>
        <item x="559"/>
        <item x="923"/>
        <item x="634"/>
        <item x="225"/>
        <item x="374"/>
        <item x="448"/>
        <item x="320"/>
        <item x="838"/>
        <item x="802"/>
        <item x="688"/>
        <item x="675"/>
        <item x="550"/>
        <item x="648"/>
        <item x="268"/>
        <item x="108"/>
        <item x="271"/>
        <item x="734"/>
        <item x="3"/>
        <item x="81"/>
        <item x="714"/>
        <item x="764"/>
        <item x="715"/>
        <item x="65"/>
        <item x="85"/>
        <item x="671"/>
        <item x="777"/>
        <item x="571"/>
        <item x="456"/>
        <item x="506"/>
        <item x="447"/>
        <item x="420"/>
        <item x="197"/>
        <item x="285"/>
        <item x="209"/>
        <item x="267"/>
        <item x="247"/>
        <item x="303"/>
        <item x="30"/>
        <item x="421"/>
        <item x="926"/>
        <item x="132"/>
        <item x="458"/>
        <item x="646"/>
        <item x="523"/>
        <item x="946"/>
        <item x="91"/>
        <item x="507"/>
        <item x="891"/>
        <item x="639"/>
        <item x="281"/>
        <item x="826"/>
        <item x="53"/>
        <item x="522"/>
        <item x="312"/>
        <item x="942"/>
        <item x="137"/>
        <item x="708"/>
        <item x="217"/>
        <item x="763"/>
        <item x="930"/>
        <item x="250"/>
        <item x="526"/>
        <item x="492"/>
        <item x="945"/>
        <item x="713"/>
        <item x="93"/>
        <item x="505"/>
        <item x="270"/>
        <item x="151"/>
        <item x="194"/>
        <item x="314"/>
        <item x="457"/>
        <item x="226"/>
        <item x="433"/>
        <item x="228"/>
        <item x="965"/>
        <item x="565"/>
        <item x="350"/>
        <item x="443"/>
        <item x="804"/>
        <item x="932"/>
        <item x="726"/>
        <item x="479"/>
        <item x="257"/>
        <item x="628"/>
        <item x="508"/>
        <item x="455"/>
        <item x="656"/>
        <item x="751"/>
        <item x="869"/>
        <item x="172"/>
        <item x="113"/>
        <item x="495"/>
        <item x="408"/>
        <item x="112"/>
        <item x="118"/>
        <item x="206"/>
        <item x="131"/>
        <item x="586"/>
        <item x="274"/>
        <item x="594"/>
        <item x="493"/>
        <item x="406"/>
        <item x="220"/>
        <item x="615"/>
        <item x="916"/>
        <item x="860"/>
        <item x="185"/>
        <item x="963"/>
        <item x="531"/>
        <item x="175"/>
        <item x="120"/>
        <item x="662"/>
        <item x="874"/>
        <item x="569"/>
        <item x="434"/>
        <item x="318"/>
        <item x="302"/>
        <item x="623"/>
        <item x="100"/>
        <item x="404"/>
        <item x="219"/>
        <item x="291"/>
        <item x="543"/>
        <item x="165"/>
        <item x="579"/>
        <item x="399"/>
        <item x="139"/>
        <item x="894"/>
        <item x="332"/>
        <item x="510"/>
        <item x="33"/>
        <item x="881"/>
        <item x="633"/>
        <item x="127"/>
        <item x="161"/>
        <item x="272"/>
        <item x="437"/>
        <item x="844"/>
        <item x="133"/>
        <item x="410"/>
        <item x="380"/>
        <item x="248"/>
        <item x="26"/>
        <item x="243"/>
        <item x="513"/>
        <item x="174"/>
        <item x="578"/>
        <item x="388"/>
        <item x="989"/>
        <item x="499"/>
        <item x="964"/>
        <item x="394"/>
        <item x="20"/>
        <item x="384"/>
        <item x="936"/>
        <item x="55"/>
        <item x="207"/>
        <item x="788"/>
        <item x="294"/>
        <item x="811"/>
        <item x="230"/>
        <item x="333"/>
        <item x="89"/>
        <item x="968"/>
        <item x="951"/>
        <item x="348"/>
        <item x="655"/>
        <item x="659"/>
        <item x="921"/>
        <item x="541"/>
        <item x="143"/>
        <item x="326"/>
        <item x="560"/>
        <item x="396"/>
        <item x="626"/>
        <item x="515"/>
        <item x="674"/>
        <item x="690"/>
        <item x="555"/>
        <item x="730"/>
        <item x="62"/>
        <item x="669"/>
        <item x="107"/>
        <item x="672"/>
        <item x="330"/>
        <item x="13"/>
        <item x="310"/>
        <item x="740"/>
        <item x="96"/>
        <item x="839"/>
        <item x="345"/>
        <item x="665"/>
        <item x="980"/>
        <item x="218"/>
        <item x="641"/>
        <item x="720"/>
        <item x="301"/>
        <item x="183"/>
        <item x="409"/>
        <item x="109"/>
        <item x="568"/>
        <item x="982"/>
        <item x="537"/>
        <item x="482"/>
        <item x="735"/>
        <item x="863"/>
        <item x="342"/>
        <item x="879"/>
        <item x="122"/>
        <item x="786"/>
        <item x="880"/>
        <item x="2"/>
        <item x="239"/>
        <item x="787"/>
        <item x="757"/>
        <item x="347"/>
        <item x="644"/>
        <item x="748"/>
        <item x="252"/>
        <item x="828"/>
        <item x="490"/>
        <item x="873"/>
        <item x="90"/>
        <item x="744"/>
        <item x="119"/>
        <item x="37"/>
        <item x="397"/>
        <item x="190"/>
        <item x="592"/>
        <item x="864"/>
        <item x="124"/>
        <item x="557"/>
        <item x="255"/>
        <item x="817"/>
        <item x="202"/>
        <item x="940"/>
        <item x="79"/>
        <item x="304"/>
        <item x="758"/>
        <item x="66"/>
        <item x="815"/>
        <item x="146"/>
        <item x="972"/>
        <item x="929"/>
        <item x="728"/>
        <item x="123"/>
        <item x="737"/>
        <item x="668"/>
        <item x="136"/>
        <item x="621"/>
        <item x="476"/>
        <item x="687"/>
        <item x="278"/>
        <item x="745"/>
        <item x="240"/>
        <item x="129"/>
        <item x="464"/>
        <item x="784"/>
        <item x="391"/>
        <item x="49"/>
        <item x="684"/>
        <item x="753"/>
        <item x="877"/>
        <item x="924"/>
        <item x="500"/>
        <item x="832"/>
        <item x="263"/>
        <item x="918"/>
        <item x="618"/>
        <item x="446"/>
        <item x="676"/>
        <item x="928"/>
        <item x="231"/>
        <item x="901"/>
        <item x="827"/>
        <item x="385"/>
        <item x="259"/>
        <item x="888"/>
        <item x="718"/>
        <item x="264"/>
        <item x="496"/>
        <item x="200"/>
        <item x="601"/>
        <item x="238"/>
        <item x="138"/>
        <item x="725"/>
        <item x="577"/>
        <item x="616"/>
        <item x="853"/>
        <item x="681"/>
        <item x="292"/>
        <item x="912"/>
        <item x="703"/>
        <item x="792"/>
        <item x="125"/>
        <item x="528"/>
        <item x="984"/>
        <item x="604"/>
        <item x="277"/>
        <item x="478"/>
        <item x="562"/>
        <item x="356"/>
        <item x="486"/>
        <item x="335"/>
        <item x="298"/>
        <item x="149"/>
        <item x="375"/>
        <item x="774"/>
        <item x="630"/>
        <item x="605"/>
        <item x="135"/>
        <item x="706"/>
        <item x="816"/>
        <item x="16"/>
        <item x="428"/>
        <item x="607"/>
        <item x="627"/>
        <item x="704"/>
        <item x="84"/>
        <item x="551"/>
        <item x="750"/>
        <item x="991"/>
        <item x="825"/>
        <item x="752"/>
        <item x="116"/>
        <item x="481"/>
        <item x="111"/>
        <item x="288"/>
        <item x="177"/>
        <item x="736"/>
        <item x="299"/>
        <item x="517"/>
        <item x="915"/>
        <item x="835"/>
        <item x="899"/>
        <item x="638"/>
        <item x="497"/>
        <item x="441"/>
        <item x="610"/>
        <item x="650"/>
        <item x="593"/>
        <item x="847"/>
        <item x="680"/>
        <item x="842"/>
        <item x="824"/>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Revenue"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7A8835-CCF0-4BEE-BF7E-582B557852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B21" firstHeaderRow="1" firstDataRow="1" firstDataCol="1"/>
  <pivotFields count="14">
    <pivotField showAll="0"/>
    <pivotField showAll="0"/>
    <pivotField showAll="0"/>
    <pivotField showAll="0"/>
    <pivotField showAll="0">
      <items count="5">
        <item x="2"/>
        <item x="0"/>
        <item x="3"/>
        <item x="1"/>
        <item t="default"/>
      </items>
    </pivotField>
    <pivotField axis="axisRow" showAll="0">
      <items count="5">
        <item x="1"/>
        <item x="3"/>
        <item x="2"/>
        <item x="0"/>
        <item t="default"/>
      </items>
    </pivotField>
    <pivotField showAll="0"/>
    <pivotField showAll="0"/>
    <pivotField showAll="0"/>
    <pivotField showAll="0"/>
    <pivotField showAll="0"/>
    <pivotField showAll="0"/>
    <pivotField showAll="0"/>
    <pivotField dataField="1" showAll="0">
      <items count="993">
        <item x="379"/>
        <item x="957"/>
        <item x="58"/>
        <item x="985"/>
        <item x="35"/>
        <item x="501"/>
        <item x="542"/>
        <item x="670"/>
        <item x="297"/>
        <item x="702"/>
        <item x="121"/>
        <item x="961"/>
        <item x="459"/>
        <item x="454"/>
        <item x="897"/>
        <item x="949"/>
        <item x="498"/>
        <item x="381"/>
        <item x="157"/>
        <item x="359"/>
        <item x="952"/>
        <item x="709"/>
        <item x="262"/>
        <item x="719"/>
        <item x="27"/>
        <item x="861"/>
        <item x="329"/>
        <item x="822"/>
        <item x="273"/>
        <item x="234"/>
        <item x="70"/>
        <item x="141"/>
        <item x="535"/>
        <item x="612"/>
        <item x="699"/>
        <item x="558"/>
        <item x="988"/>
        <item x="772"/>
        <item x="609"/>
        <item x="742"/>
        <item x="743"/>
        <item x="640"/>
        <item x="696"/>
        <item x="868"/>
        <item x="470"/>
        <item x="976"/>
        <item x="477"/>
        <item x="533"/>
        <item x="308"/>
        <item x="424"/>
        <item x="235"/>
        <item x="840"/>
        <item x="691"/>
        <item x="378"/>
        <item x="435"/>
        <item x="284"/>
        <item x="538"/>
        <item x="658"/>
        <item x="795"/>
        <item x="722"/>
        <item x="922"/>
        <item x="600"/>
        <item x="796"/>
        <item x="402"/>
        <item x="313"/>
        <item x="812"/>
        <item x="514"/>
        <item x="331"/>
        <item x="889"/>
        <item x="306"/>
        <item x="617"/>
        <item x="405"/>
        <item x="25"/>
        <item x="813"/>
        <item x="192"/>
        <item x="883"/>
        <item x="126"/>
        <item x="520"/>
        <item x="328"/>
        <item x="145"/>
        <item x="908"/>
        <item x="117"/>
        <item x="761"/>
        <item x="163"/>
        <item x="426"/>
        <item x="779"/>
        <item x="782"/>
        <item x="529"/>
        <item x="164"/>
        <item x="144"/>
        <item x="516"/>
        <item x="94"/>
        <item x="906"/>
        <item x="414"/>
        <item x="754"/>
        <item x="810"/>
        <item x="910"/>
        <item x="353"/>
        <item x="21"/>
        <item x="229"/>
        <item x="430"/>
        <item x="851"/>
        <item x="576"/>
        <item x="449"/>
        <item x="203"/>
        <item x="18"/>
        <item x="224"/>
        <item x="236"/>
        <item x="147"/>
        <item x="717"/>
        <item x="173"/>
        <item x="339"/>
        <item x="38"/>
        <item x="729"/>
        <item x="800"/>
        <item x="480"/>
        <item x="179"/>
        <item x="969"/>
        <item x="778"/>
        <item x="324"/>
        <item x="759"/>
        <item x="40"/>
        <item x="545"/>
        <item x="642"/>
        <item x="686"/>
        <item x="679"/>
        <item x="849"/>
        <item x="727"/>
        <item x="769"/>
        <item x="315"/>
        <item x="351"/>
        <item x="372"/>
        <item x="767"/>
        <item x="818"/>
        <item x="746"/>
        <item x="195"/>
        <item x="697"/>
        <item x="871"/>
        <item x="15"/>
        <item x="162"/>
        <item x="178"/>
        <item x="467"/>
        <item x="503"/>
        <item x="967"/>
        <item x="193"/>
        <item x="823"/>
        <item x="944"/>
        <item x="61"/>
        <item x="1"/>
        <item x="442"/>
        <item x="483"/>
        <item x="19"/>
        <item x="856"/>
        <item x="904"/>
        <item x="756"/>
        <item x="775"/>
        <item x="373"/>
        <item x="848"/>
        <item x="466"/>
        <item x="692"/>
        <item x="253"/>
        <item x="83"/>
        <item x="791"/>
        <item x="188"/>
        <item x="128"/>
        <item x="651"/>
        <item x="602"/>
        <item x="327"/>
        <item x="931"/>
        <item x="858"/>
        <item x="712"/>
        <item x="44"/>
        <item x="269"/>
        <item x="266"/>
        <item x="591"/>
        <item x="698"/>
        <item x="17"/>
        <item x="573"/>
        <item x="205"/>
        <item x="452"/>
        <item x="548"/>
        <item x="870"/>
        <item x="383"/>
        <item x="389"/>
        <item x="246"/>
        <item x="130"/>
        <item x="78"/>
        <item x="73"/>
        <item x="237"/>
        <item x="799"/>
        <item x="286"/>
        <item x="440"/>
        <item x="654"/>
        <item x="620"/>
        <item x="636"/>
        <item x="201"/>
        <item x="939"/>
        <item x="857"/>
        <item x="793"/>
        <item x="42"/>
        <item x="629"/>
        <item x="876"/>
        <item x="87"/>
        <item x="316"/>
        <item x="290"/>
        <item x="667"/>
        <item x="911"/>
        <item x="105"/>
        <item x="556"/>
        <item x="512"/>
        <item x="24"/>
        <item x="36"/>
        <item x="416"/>
        <item x="966"/>
        <item x="866"/>
        <item x="357"/>
        <item x="614"/>
        <item x="831"/>
        <item x="833"/>
        <item x="103"/>
        <item x="732"/>
        <item x="532"/>
        <item x="563"/>
        <item x="471"/>
        <item x="739"/>
        <item x="896"/>
        <item x="411"/>
        <item x="417"/>
        <item x="798"/>
        <item x="530"/>
        <item x="69"/>
        <item x="738"/>
        <item x="419"/>
        <item x="701"/>
        <item x="647"/>
        <item x="95"/>
        <item x="561"/>
        <item x="337"/>
        <item x="913"/>
        <item x="296"/>
        <item x="582"/>
        <item x="32"/>
        <item x="57"/>
        <item x="625"/>
        <item x="632"/>
        <item x="914"/>
        <item x="366"/>
        <item x="344"/>
        <item x="587"/>
        <item x="474"/>
        <item x="837"/>
        <item x="232"/>
        <item x="645"/>
        <item x="890"/>
        <item x="469"/>
        <item x="279"/>
        <item x="947"/>
        <item x="552"/>
        <item x="460"/>
        <item x="707"/>
        <item x="461"/>
        <item x="875"/>
        <item x="289"/>
        <item x="950"/>
        <item x="682"/>
        <item x="567"/>
        <item x="954"/>
        <item x="539"/>
        <item x="574"/>
        <item x="14"/>
        <item x="590"/>
        <item x="340"/>
        <item x="439"/>
        <item x="245"/>
        <item x="82"/>
        <item x="398"/>
        <item x="653"/>
        <item x="909"/>
        <item x="134"/>
        <item x="168"/>
        <item x="540"/>
        <item x="903"/>
        <item x="148"/>
        <item x="803"/>
        <item x="180"/>
        <item x="583"/>
        <item x="386"/>
        <item x="98"/>
        <item x="971"/>
        <item x="488"/>
        <item x="77"/>
        <item x="917"/>
        <item x="781"/>
        <item x="102"/>
        <item x="808"/>
        <item x="363"/>
        <item x="983"/>
        <item x="509"/>
        <item x="0"/>
        <item x="142"/>
        <item x="755"/>
        <item x="258"/>
        <item x="349"/>
        <item x="221"/>
        <item x="598"/>
        <item x="885"/>
        <item x="733"/>
        <item x="588"/>
        <item x="472"/>
        <item x="436"/>
        <item x="361"/>
        <item x="783"/>
        <item x="43"/>
        <item x="352"/>
        <item x="484"/>
        <item x="564"/>
        <item x="468"/>
        <item x="360"/>
        <item x="382"/>
        <item x="275"/>
        <item x="872"/>
        <item x="978"/>
        <item x="368"/>
        <item x="444"/>
        <item x="700"/>
        <item x="341"/>
        <item x="766"/>
        <item x="241"/>
        <item x="307"/>
        <item x="106"/>
        <item x="166"/>
        <item x="334"/>
        <item x="619"/>
        <item x="186"/>
        <item x="287"/>
        <item x="986"/>
        <item x="624"/>
        <item x="46"/>
        <item x="660"/>
        <item x="293"/>
        <item x="23"/>
        <item x="807"/>
        <item x="423"/>
        <item x="395"/>
        <item x="74"/>
        <item x="657"/>
        <item x="343"/>
        <item x="527"/>
        <item x="920"/>
        <item x="403"/>
        <item x="595"/>
        <item x="575"/>
        <item x="158"/>
        <item x="365"/>
        <item x="685"/>
        <item x="747"/>
        <item x="955"/>
        <item x="865"/>
        <item x="977"/>
        <item x="160"/>
        <item x="48"/>
        <item x="519"/>
        <item x="677"/>
        <item x="390"/>
        <item x="770"/>
        <item x="427"/>
        <item x="948"/>
        <item x="295"/>
        <item x="741"/>
        <item x="51"/>
        <item x="494"/>
        <item x="256"/>
        <item x="846"/>
        <item x="771"/>
        <item x="789"/>
        <item x="60"/>
        <item x="260"/>
        <item x="407"/>
        <item x="453"/>
        <item x="465"/>
        <item x="611"/>
        <item x="666"/>
        <item x="9"/>
        <item x="549"/>
        <item x="962"/>
        <item x="216"/>
        <item x="902"/>
        <item x="518"/>
        <item x="805"/>
        <item x="521"/>
        <item x="364"/>
        <item x="418"/>
        <item x="169"/>
        <item x="882"/>
        <item x="794"/>
        <item x="850"/>
        <item x="809"/>
        <item x="927"/>
        <item x="432"/>
        <item x="695"/>
        <item x="570"/>
        <item x="101"/>
        <item x="905"/>
        <item x="400"/>
        <item x="716"/>
        <item x="935"/>
        <item x="7"/>
        <item x="159"/>
        <item x="8"/>
        <item x="431"/>
        <item x="981"/>
        <item x="663"/>
        <item x="814"/>
        <item x="67"/>
        <item x="819"/>
        <item x="210"/>
        <item x="41"/>
        <item x="75"/>
        <item x="585"/>
        <item x="581"/>
        <item x="953"/>
        <item x="643"/>
        <item x="830"/>
        <item x="227"/>
        <item x="694"/>
        <item x="854"/>
        <item x="45"/>
        <item x="171"/>
        <item x="370"/>
        <item x="413"/>
        <item x="678"/>
        <item x="622"/>
        <item x="265"/>
        <item x="451"/>
        <item x="536"/>
        <item x="898"/>
        <item x="855"/>
        <item x="12"/>
        <item x="504"/>
        <item x="970"/>
        <item x="958"/>
        <item x="184"/>
        <item x="554"/>
        <item x="104"/>
        <item x="790"/>
        <item x="485"/>
        <item x="553"/>
        <item x="475"/>
        <item x="895"/>
        <item x="305"/>
        <item x="887"/>
        <item x="336"/>
        <item x="47"/>
        <item x="208"/>
        <item x="859"/>
        <item x="801"/>
        <item x="317"/>
        <item x="311"/>
        <item x="358"/>
        <item x="181"/>
        <item x="878"/>
        <item x="933"/>
        <item x="843"/>
        <item x="153"/>
        <item x="731"/>
        <item x="54"/>
        <item x="635"/>
        <item x="956"/>
        <item x="845"/>
        <item x="785"/>
        <item x="776"/>
        <item x="282"/>
        <item x="213"/>
        <item x="599"/>
        <item x="780"/>
        <item x="934"/>
        <item x="338"/>
        <item x="354"/>
        <item x="749"/>
        <item x="22"/>
        <item x="377"/>
        <item x="491"/>
        <item x="176"/>
        <item x="215"/>
        <item x="723"/>
        <item x="900"/>
        <item x="4"/>
        <item x="10"/>
        <item x="29"/>
        <item x="244"/>
        <item x="88"/>
        <item x="6"/>
        <item x="150"/>
        <item x="422"/>
        <item x="597"/>
        <item x="346"/>
        <item x="155"/>
        <item x="711"/>
        <item x="829"/>
        <item x="110"/>
        <item x="724"/>
        <item x="191"/>
        <item x="393"/>
        <item x="387"/>
        <item x="376"/>
        <item x="637"/>
        <item x="546"/>
        <item x="283"/>
        <item x="450"/>
        <item x="59"/>
        <item x="547"/>
        <item x="322"/>
        <item x="608"/>
        <item x="613"/>
        <item x="907"/>
        <item x="182"/>
        <item x="893"/>
        <item x="64"/>
        <item x="50"/>
        <item x="721"/>
        <item x="445"/>
        <item x="76"/>
        <item x="319"/>
        <item x="990"/>
        <item x="276"/>
        <item x="511"/>
        <item x="631"/>
        <item x="280"/>
        <item x="92"/>
        <item x="223"/>
        <item x="325"/>
        <item x="525"/>
        <item x="566"/>
        <item x="68"/>
        <item x="189"/>
        <item x="170"/>
        <item x="371"/>
        <item x="689"/>
        <item x="321"/>
        <item x="97"/>
        <item x="11"/>
        <item x="589"/>
        <item x="34"/>
        <item x="99"/>
        <item x="941"/>
        <item x="462"/>
        <item x="249"/>
        <item x="199"/>
        <item x="987"/>
        <item x="841"/>
        <item x="254"/>
        <item x="661"/>
        <item x="392"/>
        <item x="187"/>
        <item x="115"/>
        <item x="502"/>
        <item x="473"/>
        <item x="544"/>
        <item x="938"/>
        <item x="72"/>
        <item x="820"/>
        <item x="892"/>
        <item x="606"/>
        <item x="415"/>
        <item x="31"/>
        <item x="300"/>
        <item x="937"/>
        <item x="773"/>
        <item x="673"/>
        <item x="251"/>
        <item x="52"/>
        <item x="765"/>
        <item x="797"/>
        <item x="919"/>
        <item x="56"/>
        <item x="652"/>
        <item x="140"/>
        <item x="572"/>
        <item x="28"/>
        <item x="323"/>
        <item x="80"/>
        <item x="768"/>
        <item x="86"/>
        <item x="196"/>
        <item x="71"/>
        <item x="524"/>
        <item x="603"/>
        <item x="683"/>
        <item x="261"/>
        <item x="925"/>
        <item x="596"/>
        <item x="429"/>
        <item x="369"/>
        <item x="580"/>
        <item x="412"/>
        <item x="960"/>
        <item x="693"/>
        <item x="355"/>
        <item x="154"/>
        <item x="836"/>
        <item x="762"/>
        <item x="884"/>
        <item x="975"/>
        <item x="664"/>
        <item x="242"/>
        <item x="534"/>
        <item x="974"/>
        <item x="222"/>
        <item x="710"/>
        <item x="979"/>
        <item x="211"/>
        <item x="973"/>
        <item x="806"/>
        <item x="584"/>
        <item x="204"/>
        <item x="401"/>
        <item x="198"/>
        <item x="152"/>
        <item x="821"/>
        <item x="5"/>
        <item x="309"/>
        <item x="489"/>
        <item x="852"/>
        <item x="886"/>
        <item x="487"/>
        <item x="705"/>
        <item x="943"/>
        <item x="362"/>
        <item x="425"/>
        <item x="438"/>
        <item x="212"/>
        <item x="63"/>
        <item x="39"/>
        <item x="463"/>
        <item x="214"/>
        <item x="167"/>
        <item x="862"/>
        <item x="114"/>
        <item x="649"/>
        <item x="834"/>
        <item x="233"/>
        <item x="367"/>
        <item x="959"/>
        <item x="867"/>
        <item x="156"/>
        <item x="760"/>
        <item x="559"/>
        <item x="923"/>
        <item x="634"/>
        <item x="225"/>
        <item x="374"/>
        <item x="448"/>
        <item x="320"/>
        <item x="838"/>
        <item x="802"/>
        <item x="688"/>
        <item x="675"/>
        <item x="550"/>
        <item x="648"/>
        <item x="268"/>
        <item x="108"/>
        <item x="271"/>
        <item x="734"/>
        <item x="3"/>
        <item x="81"/>
        <item x="714"/>
        <item x="764"/>
        <item x="715"/>
        <item x="65"/>
        <item x="85"/>
        <item x="671"/>
        <item x="777"/>
        <item x="571"/>
        <item x="456"/>
        <item x="506"/>
        <item x="447"/>
        <item x="420"/>
        <item x="197"/>
        <item x="285"/>
        <item x="209"/>
        <item x="267"/>
        <item x="247"/>
        <item x="303"/>
        <item x="30"/>
        <item x="421"/>
        <item x="926"/>
        <item x="132"/>
        <item x="458"/>
        <item x="646"/>
        <item x="523"/>
        <item x="946"/>
        <item x="91"/>
        <item x="507"/>
        <item x="891"/>
        <item x="639"/>
        <item x="281"/>
        <item x="826"/>
        <item x="53"/>
        <item x="522"/>
        <item x="312"/>
        <item x="942"/>
        <item x="137"/>
        <item x="708"/>
        <item x="217"/>
        <item x="763"/>
        <item x="930"/>
        <item x="250"/>
        <item x="526"/>
        <item x="492"/>
        <item x="945"/>
        <item x="713"/>
        <item x="93"/>
        <item x="505"/>
        <item x="270"/>
        <item x="151"/>
        <item x="194"/>
        <item x="314"/>
        <item x="457"/>
        <item x="226"/>
        <item x="433"/>
        <item x="228"/>
        <item x="965"/>
        <item x="565"/>
        <item x="350"/>
        <item x="443"/>
        <item x="804"/>
        <item x="932"/>
        <item x="726"/>
        <item x="479"/>
        <item x="257"/>
        <item x="628"/>
        <item x="508"/>
        <item x="455"/>
        <item x="656"/>
        <item x="751"/>
        <item x="869"/>
        <item x="172"/>
        <item x="113"/>
        <item x="495"/>
        <item x="408"/>
        <item x="112"/>
        <item x="118"/>
        <item x="206"/>
        <item x="131"/>
        <item x="586"/>
        <item x="274"/>
        <item x="594"/>
        <item x="493"/>
        <item x="406"/>
        <item x="220"/>
        <item x="615"/>
        <item x="916"/>
        <item x="860"/>
        <item x="185"/>
        <item x="963"/>
        <item x="531"/>
        <item x="175"/>
        <item x="120"/>
        <item x="662"/>
        <item x="874"/>
        <item x="569"/>
        <item x="434"/>
        <item x="318"/>
        <item x="302"/>
        <item x="623"/>
        <item x="100"/>
        <item x="404"/>
        <item x="219"/>
        <item x="291"/>
        <item x="543"/>
        <item x="165"/>
        <item x="579"/>
        <item x="399"/>
        <item x="139"/>
        <item x="894"/>
        <item x="332"/>
        <item x="510"/>
        <item x="33"/>
        <item x="881"/>
        <item x="633"/>
        <item x="127"/>
        <item x="161"/>
        <item x="272"/>
        <item x="437"/>
        <item x="844"/>
        <item x="133"/>
        <item x="410"/>
        <item x="380"/>
        <item x="248"/>
        <item x="26"/>
        <item x="243"/>
        <item x="513"/>
        <item x="174"/>
        <item x="578"/>
        <item x="388"/>
        <item x="989"/>
        <item x="499"/>
        <item x="964"/>
        <item x="394"/>
        <item x="20"/>
        <item x="384"/>
        <item x="936"/>
        <item x="55"/>
        <item x="207"/>
        <item x="788"/>
        <item x="294"/>
        <item x="811"/>
        <item x="230"/>
        <item x="333"/>
        <item x="89"/>
        <item x="968"/>
        <item x="951"/>
        <item x="348"/>
        <item x="655"/>
        <item x="659"/>
        <item x="921"/>
        <item x="541"/>
        <item x="143"/>
        <item x="326"/>
        <item x="560"/>
        <item x="396"/>
        <item x="626"/>
        <item x="515"/>
        <item x="674"/>
        <item x="690"/>
        <item x="555"/>
        <item x="730"/>
        <item x="62"/>
        <item x="669"/>
        <item x="107"/>
        <item x="672"/>
        <item x="330"/>
        <item x="13"/>
        <item x="310"/>
        <item x="740"/>
        <item x="96"/>
        <item x="839"/>
        <item x="345"/>
        <item x="665"/>
        <item x="980"/>
        <item x="218"/>
        <item x="641"/>
        <item x="720"/>
        <item x="301"/>
        <item x="183"/>
        <item x="409"/>
        <item x="109"/>
        <item x="568"/>
        <item x="982"/>
        <item x="537"/>
        <item x="482"/>
        <item x="735"/>
        <item x="863"/>
        <item x="342"/>
        <item x="879"/>
        <item x="122"/>
        <item x="786"/>
        <item x="880"/>
        <item x="2"/>
        <item x="239"/>
        <item x="787"/>
        <item x="757"/>
        <item x="347"/>
        <item x="644"/>
        <item x="748"/>
        <item x="252"/>
        <item x="828"/>
        <item x="490"/>
        <item x="873"/>
        <item x="90"/>
        <item x="744"/>
        <item x="119"/>
        <item x="37"/>
        <item x="397"/>
        <item x="190"/>
        <item x="592"/>
        <item x="864"/>
        <item x="124"/>
        <item x="557"/>
        <item x="255"/>
        <item x="817"/>
        <item x="202"/>
        <item x="940"/>
        <item x="79"/>
        <item x="304"/>
        <item x="758"/>
        <item x="66"/>
        <item x="815"/>
        <item x="146"/>
        <item x="972"/>
        <item x="929"/>
        <item x="728"/>
        <item x="123"/>
        <item x="737"/>
        <item x="668"/>
        <item x="136"/>
        <item x="621"/>
        <item x="476"/>
        <item x="687"/>
        <item x="278"/>
        <item x="745"/>
        <item x="240"/>
        <item x="129"/>
        <item x="464"/>
        <item x="784"/>
        <item x="391"/>
        <item x="49"/>
        <item x="684"/>
        <item x="753"/>
        <item x="877"/>
        <item x="924"/>
        <item x="500"/>
        <item x="832"/>
        <item x="263"/>
        <item x="918"/>
        <item x="618"/>
        <item x="446"/>
        <item x="676"/>
        <item x="928"/>
        <item x="231"/>
        <item x="901"/>
        <item x="827"/>
        <item x="385"/>
        <item x="259"/>
        <item x="888"/>
        <item x="718"/>
        <item x="264"/>
        <item x="496"/>
        <item x="200"/>
        <item x="601"/>
        <item x="238"/>
        <item x="138"/>
        <item x="725"/>
        <item x="577"/>
        <item x="616"/>
        <item x="853"/>
        <item x="681"/>
        <item x="292"/>
        <item x="912"/>
        <item x="703"/>
        <item x="792"/>
        <item x="125"/>
        <item x="528"/>
        <item x="984"/>
        <item x="604"/>
        <item x="277"/>
        <item x="478"/>
        <item x="562"/>
        <item x="356"/>
        <item x="486"/>
        <item x="335"/>
        <item x="298"/>
        <item x="149"/>
        <item x="375"/>
        <item x="774"/>
        <item x="630"/>
        <item x="605"/>
        <item x="135"/>
        <item x="706"/>
        <item x="816"/>
        <item x="16"/>
        <item x="428"/>
        <item x="607"/>
        <item x="627"/>
        <item x="704"/>
        <item x="84"/>
        <item x="551"/>
        <item x="750"/>
        <item x="991"/>
        <item x="825"/>
        <item x="752"/>
        <item x="116"/>
        <item x="481"/>
        <item x="111"/>
        <item x="288"/>
        <item x="177"/>
        <item x="736"/>
        <item x="299"/>
        <item x="517"/>
        <item x="915"/>
        <item x="835"/>
        <item x="899"/>
        <item x="638"/>
        <item x="497"/>
        <item x="441"/>
        <item x="610"/>
        <item x="650"/>
        <item x="593"/>
        <item x="847"/>
        <item x="680"/>
        <item x="842"/>
        <item x="824"/>
        <item t="default"/>
      </items>
    </pivotField>
  </pivotFields>
  <rowFields count="1">
    <field x="5"/>
  </rowFields>
  <rowItems count="5">
    <i>
      <x/>
    </i>
    <i>
      <x v="1"/>
    </i>
    <i>
      <x v="2"/>
    </i>
    <i>
      <x v="3"/>
    </i>
    <i t="grand">
      <x/>
    </i>
  </rowItems>
  <colItems count="1">
    <i/>
  </colItems>
  <dataFields count="1">
    <dataField name="Sum of Profit" fld="13"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A221C6-3722-437A-9239-3E02600416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B13" firstHeaderRow="1" firstDataRow="1" firstDataCol="1"/>
  <pivotFields count="14">
    <pivotField showAll="0"/>
    <pivotField showAll="0"/>
    <pivotField showAll="0">
      <items count="13">
        <item x="2"/>
        <item x="4"/>
        <item x="3"/>
        <item x="10"/>
        <item x="7"/>
        <item x="8"/>
        <item x="6"/>
        <item x="9"/>
        <item x="11"/>
        <item x="5"/>
        <item x="0"/>
        <item x="1"/>
        <item t="default"/>
      </items>
    </pivotField>
    <pivotField showAll="0"/>
    <pivotField axis="axisRow" showAll="0">
      <items count="5">
        <item x="2"/>
        <item x="0"/>
        <item x="3"/>
        <item x="1"/>
        <item t="default"/>
      </items>
    </pivotField>
    <pivotField showAll="0">
      <items count="5">
        <item x="1"/>
        <item x="3"/>
        <item x="2"/>
        <item x="0"/>
        <item t="default"/>
      </items>
    </pivotField>
    <pivotField showAll="0"/>
    <pivotField showAll="0">
      <items count="21">
        <item x="1"/>
        <item x="11"/>
        <item x="16"/>
        <item x="4"/>
        <item x="13"/>
        <item x="10"/>
        <item x="2"/>
        <item x="12"/>
        <item x="19"/>
        <item x="5"/>
        <item x="8"/>
        <item x="7"/>
        <item x="18"/>
        <item x="15"/>
        <item x="17"/>
        <item x="3"/>
        <item x="9"/>
        <item x="14"/>
        <item x="6"/>
        <item x="0"/>
        <item t="default"/>
      </items>
    </pivotField>
    <pivotField showAll="0"/>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Sum of Revenue"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BE97722-89E2-44FA-B02B-CD758804D6A4}" sourceName="Month">
  <pivotTables>
    <pivotTable tabId="3" name="PivotTable1"/>
  </pivotTables>
  <data>
    <tabular pivotCacheId="250389806">
      <items count="12">
        <i x="2" s="1"/>
        <i x="4" s="1"/>
        <i x="3" s="1"/>
        <i x="10" s="1"/>
        <i x="7" s="1"/>
        <i x="8" s="1"/>
        <i x="6" s="1"/>
        <i x="9" s="1"/>
        <i x="11" s="1"/>
        <i x="5"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482197-4009-499D-92AB-5702BE4E9B9D}" sourceName="Region">
  <pivotTables>
    <pivotTable tabId="3" name="PivotTable1"/>
  </pivotTables>
  <data>
    <tabular pivotCacheId="250389806">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41557DD-A070-437A-9D19-A26EC9774E86}" sourceName="Product">
  <pivotTables>
    <pivotTable tabId="3" name="PivotTable1"/>
  </pivotTables>
  <data>
    <tabular pivotCacheId="250389806">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BCB53E5E-0F1A-48B5-A0ED-A68CBDDA7F86}" sourceName="Sales_Rep">
  <pivotTables>
    <pivotTable tabId="3" name="PivotTable1"/>
  </pivotTables>
  <data>
    <tabular pivotCacheId="250389806">
      <items count="20">
        <i x="1" s="1"/>
        <i x="11" s="1"/>
        <i x="16" s="1"/>
        <i x="4" s="1"/>
        <i x="13" s="1"/>
        <i x="10" s="1"/>
        <i x="2" s="1"/>
        <i x="12" s="1"/>
        <i x="19" s="1"/>
        <i x="5" s="1"/>
        <i x="8" s="1"/>
        <i x="7" s="1"/>
        <i x="18" s="1"/>
        <i x="15" s="1"/>
        <i x="17" s="1"/>
        <i x="3" s="1"/>
        <i x="9" s="1"/>
        <i x="14"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2EDA041-3582-415A-B1DB-69E1E24BBE5D}" cache="Slicer_Month" caption="Month" rowHeight="241300"/>
  <slicer name="Region" xr10:uid="{74C25C80-CC9C-4991-9C50-6974DFA90F07}" cache="Slicer_Region" caption="Region" rowHeight="241300"/>
  <slicer name="Product" xr10:uid="{7F2C6E86-9BB4-4507-8D15-5304236D8F16}" cache="Slicer_Product" caption="Product" rowHeight="241300"/>
  <slicer name="Sales_Rep" xr10:uid="{2979A9B1-D68B-4267-AFCC-0C598D5F6A33}" cache="Slicer_Sales_Rep" caption="Sales_Re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90C49F-F927-4184-B8B3-C7C29178092E}" name="SalesData" displayName="SalesData" ref="A1:N1001" totalsRowShown="0" headerRowDxfId="4" headerRowBorderDxfId="3" tableBorderDxfId="2">
  <autoFilter ref="A1:N1001" xr:uid="{DA90C49F-F927-4184-B8B3-C7C29178092E}"/>
  <tableColumns count="14">
    <tableColumn id="1" xr3:uid="{7F69D951-631A-43CF-BA60-586007B5D040}" name="Transaction_ID"/>
    <tableColumn id="2" xr3:uid="{24ECAF3B-F585-423F-B076-4F4109B385D1}" name="Date"/>
    <tableColumn id="14" xr3:uid="{51A644B8-0D7C-47F3-806E-1F27628F6DAB}" name="Month" dataDxfId="1">
      <calculatedColumnFormula>TEXT(B2,"mmm")</calculatedColumnFormula>
    </tableColumn>
    <tableColumn id="13" xr3:uid="{33CE9D33-2886-458F-9AEE-769B726EFB1B}" name="Year" dataDxfId="0">
      <calculatedColumnFormula>YEAR(SalesData[[#This Row],[Date]])</calculatedColumnFormula>
    </tableColumn>
    <tableColumn id="3" xr3:uid="{B8221CC4-A977-45FF-A1AA-205C9FD4E9AF}" name="Region"/>
    <tableColumn id="4" xr3:uid="{57FDC2EB-F5A5-4415-A471-68F52AB3EE41}" name="Product"/>
    <tableColumn id="5" xr3:uid="{7D36330D-756C-4001-9CE5-7C6A7B55A223}" name="Customer"/>
    <tableColumn id="6" xr3:uid="{7ACF2D3B-CE7A-48FA-84B0-5FD02A272918}" name="Sales_Rep"/>
    <tableColumn id="7" xr3:uid="{3AA12236-7A20-48A7-944E-022D18785F69}" name="Quantity"/>
    <tableColumn id="8" xr3:uid="{FDD8034F-4074-44EE-9AAF-B4500CFC14AC}" name="Price_per_Unit"/>
    <tableColumn id="9" xr3:uid="{2AE52059-907C-4BE4-8E5B-068F6AA978AA}" name="Revenue"/>
    <tableColumn id="10" xr3:uid="{72B097C0-3C97-4F8A-8F1B-70E92CB07722}" name="Cost_per_Unit"/>
    <tableColumn id="11" xr3:uid="{2B5995BB-2B58-439A-BBDB-1D6B55C52B7C}" name="Total_Cost"/>
    <tableColumn id="12" xr3:uid="{F110D02B-5729-4A95-A784-676024D6268D}" name="Profit"/>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30174-24A6-4743-A745-E4F7D5B13C5F}">
  <dimension ref="A1:L1001"/>
  <sheetViews>
    <sheetView workbookViewId="0">
      <selection activeCell="N7" sqref="N7"/>
    </sheetView>
  </sheetViews>
  <sheetFormatPr defaultRowHeight="15" x14ac:dyDescent="0.25"/>
  <sheetData>
    <row r="1" spans="1:12" x14ac:dyDescent="0.25">
      <c r="A1" s="2" t="s">
        <v>0</v>
      </c>
      <c r="B1" s="2" t="s">
        <v>1</v>
      </c>
      <c r="C1" s="2" t="s">
        <v>2</v>
      </c>
      <c r="D1" s="2" t="s">
        <v>3</v>
      </c>
      <c r="E1" s="2" t="s">
        <v>4</v>
      </c>
      <c r="F1" s="2" t="s">
        <v>5</v>
      </c>
      <c r="G1" s="2" t="s">
        <v>6</v>
      </c>
      <c r="H1" s="2" t="s">
        <v>7</v>
      </c>
      <c r="I1" s="2" t="s">
        <v>8</v>
      </c>
      <c r="J1" s="2" t="s">
        <v>9</v>
      </c>
      <c r="K1" s="2" t="s">
        <v>10</v>
      </c>
      <c r="L1" s="2" t="s">
        <v>11</v>
      </c>
    </row>
    <row r="2" spans="1:12" x14ac:dyDescent="0.25">
      <c r="A2">
        <v>1</v>
      </c>
      <c r="B2" t="s">
        <v>12</v>
      </c>
      <c r="C2" t="s">
        <v>363</v>
      </c>
      <c r="D2" t="s">
        <v>367</v>
      </c>
      <c r="E2" t="s">
        <v>371</v>
      </c>
      <c r="F2" t="s">
        <v>471</v>
      </c>
      <c r="G2">
        <v>2506</v>
      </c>
      <c r="H2">
        <v>0.96</v>
      </c>
      <c r="I2">
        <v>2405.7600000000002</v>
      </c>
      <c r="J2">
        <v>0.75</v>
      </c>
      <c r="K2">
        <v>1879.5</v>
      </c>
      <c r="L2">
        <v>526.26</v>
      </c>
    </row>
    <row r="3" spans="1:12" x14ac:dyDescent="0.25">
      <c r="A3">
        <v>2</v>
      </c>
      <c r="B3" t="s">
        <v>13</v>
      </c>
      <c r="C3" t="s">
        <v>364</v>
      </c>
      <c r="D3" t="s">
        <v>367</v>
      </c>
      <c r="E3" t="s">
        <v>372</v>
      </c>
      <c r="F3" t="s">
        <v>472</v>
      </c>
      <c r="G3">
        <v>1267</v>
      </c>
      <c r="H3">
        <v>0.95</v>
      </c>
      <c r="I3">
        <v>1203.6500000000001</v>
      </c>
      <c r="J3">
        <v>0.69</v>
      </c>
      <c r="K3">
        <v>874.23</v>
      </c>
      <c r="L3">
        <v>329.42</v>
      </c>
    </row>
    <row r="4" spans="1:12" x14ac:dyDescent="0.25">
      <c r="A4">
        <v>3</v>
      </c>
      <c r="B4" t="s">
        <v>14</v>
      </c>
      <c r="C4" t="s">
        <v>364</v>
      </c>
      <c r="D4" t="s">
        <v>368</v>
      </c>
      <c r="E4" t="s">
        <v>373</v>
      </c>
      <c r="F4" t="s">
        <v>473</v>
      </c>
      <c r="G4">
        <v>2778</v>
      </c>
      <c r="H4">
        <v>1.37</v>
      </c>
      <c r="I4">
        <v>3805.86</v>
      </c>
      <c r="J4">
        <v>0.82</v>
      </c>
      <c r="K4">
        <v>2277.96</v>
      </c>
      <c r="L4">
        <v>1527.9</v>
      </c>
    </row>
    <row r="5" spans="1:12" x14ac:dyDescent="0.25">
      <c r="A5">
        <v>4</v>
      </c>
      <c r="B5" t="s">
        <v>15</v>
      </c>
      <c r="C5" t="s">
        <v>365</v>
      </c>
      <c r="D5" t="s">
        <v>369</v>
      </c>
      <c r="E5" t="s">
        <v>374</v>
      </c>
      <c r="F5" t="s">
        <v>474</v>
      </c>
      <c r="G5">
        <v>2263</v>
      </c>
      <c r="H5">
        <v>1.47</v>
      </c>
      <c r="I5">
        <v>3326.61</v>
      </c>
      <c r="J5">
        <v>1.01</v>
      </c>
      <c r="K5">
        <v>2285.63</v>
      </c>
      <c r="L5">
        <v>1040.98</v>
      </c>
    </row>
    <row r="6" spans="1:12" x14ac:dyDescent="0.25">
      <c r="A6">
        <v>5</v>
      </c>
      <c r="B6" t="s">
        <v>16</v>
      </c>
      <c r="C6" t="s">
        <v>363</v>
      </c>
      <c r="D6" t="s">
        <v>369</v>
      </c>
      <c r="E6" t="s">
        <v>375</v>
      </c>
      <c r="F6" t="s">
        <v>475</v>
      </c>
      <c r="G6">
        <v>2666</v>
      </c>
      <c r="H6">
        <v>1.36</v>
      </c>
      <c r="I6">
        <v>3625.76</v>
      </c>
      <c r="J6">
        <v>1.06</v>
      </c>
      <c r="K6">
        <v>2825.96</v>
      </c>
      <c r="L6">
        <v>799.8</v>
      </c>
    </row>
    <row r="7" spans="1:12" x14ac:dyDescent="0.25">
      <c r="A7">
        <v>6</v>
      </c>
      <c r="B7" t="s">
        <v>17</v>
      </c>
      <c r="C7" t="s">
        <v>364</v>
      </c>
      <c r="D7" t="s">
        <v>367</v>
      </c>
      <c r="E7" t="s">
        <v>376</v>
      </c>
      <c r="F7" t="s">
        <v>476</v>
      </c>
      <c r="G7">
        <v>2901</v>
      </c>
      <c r="H7">
        <v>1.38</v>
      </c>
      <c r="I7">
        <v>4003.38</v>
      </c>
      <c r="J7">
        <v>1.04</v>
      </c>
      <c r="K7">
        <v>3017.04</v>
      </c>
      <c r="L7">
        <v>986.34</v>
      </c>
    </row>
    <row r="8" spans="1:12" x14ac:dyDescent="0.25">
      <c r="A8">
        <v>7</v>
      </c>
      <c r="B8" t="s">
        <v>18</v>
      </c>
      <c r="C8" t="s">
        <v>363</v>
      </c>
      <c r="D8" t="s">
        <v>368</v>
      </c>
      <c r="E8" t="s">
        <v>377</v>
      </c>
      <c r="F8" t="s">
        <v>477</v>
      </c>
      <c r="G8">
        <v>2870</v>
      </c>
      <c r="H8">
        <v>1.49</v>
      </c>
      <c r="I8">
        <v>4276.3</v>
      </c>
      <c r="J8">
        <v>1.21</v>
      </c>
      <c r="K8">
        <v>3472.7</v>
      </c>
      <c r="L8">
        <v>803.6</v>
      </c>
    </row>
    <row r="9" spans="1:12" x14ac:dyDescent="0.25">
      <c r="A9">
        <v>8</v>
      </c>
      <c r="B9" t="s">
        <v>19</v>
      </c>
      <c r="C9" t="s">
        <v>365</v>
      </c>
      <c r="D9" t="s">
        <v>369</v>
      </c>
      <c r="E9" t="s">
        <v>378</v>
      </c>
      <c r="F9" t="s">
        <v>475</v>
      </c>
      <c r="G9">
        <v>1832</v>
      </c>
      <c r="H9">
        <v>1.06</v>
      </c>
      <c r="I9">
        <v>1941.92</v>
      </c>
      <c r="J9">
        <v>0.69</v>
      </c>
      <c r="K9">
        <v>1264.08</v>
      </c>
      <c r="L9">
        <v>677.84</v>
      </c>
    </row>
    <row r="10" spans="1:12" x14ac:dyDescent="0.25">
      <c r="A10">
        <v>9</v>
      </c>
      <c r="B10" t="s">
        <v>20</v>
      </c>
      <c r="C10" t="s">
        <v>366</v>
      </c>
      <c r="D10" t="s">
        <v>367</v>
      </c>
      <c r="E10" t="s">
        <v>379</v>
      </c>
      <c r="F10" t="s">
        <v>477</v>
      </c>
      <c r="G10">
        <v>1838</v>
      </c>
      <c r="H10">
        <v>1.1200000000000001</v>
      </c>
      <c r="I10">
        <v>2058.56</v>
      </c>
      <c r="J10">
        <v>0.75</v>
      </c>
      <c r="K10">
        <v>1378.5</v>
      </c>
      <c r="L10">
        <v>680.06</v>
      </c>
    </row>
    <row r="11" spans="1:12" x14ac:dyDescent="0.25">
      <c r="A11">
        <v>10</v>
      </c>
      <c r="B11" t="s">
        <v>12</v>
      </c>
      <c r="C11" t="s">
        <v>365</v>
      </c>
      <c r="D11" t="s">
        <v>368</v>
      </c>
      <c r="E11" t="s">
        <v>380</v>
      </c>
      <c r="F11" t="s">
        <v>478</v>
      </c>
      <c r="G11">
        <v>2376</v>
      </c>
      <c r="H11">
        <v>1.38</v>
      </c>
      <c r="I11">
        <v>3278.88</v>
      </c>
      <c r="J11">
        <v>1.1100000000000001</v>
      </c>
      <c r="K11">
        <v>2637.36</v>
      </c>
      <c r="L11">
        <v>641.52</v>
      </c>
    </row>
    <row r="12" spans="1:12" x14ac:dyDescent="0.25">
      <c r="A12">
        <v>11</v>
      </c>
      <c r="B12" t="s">
        <v>21</v>
      </c>
      <c r="C12" t="s">
        <v>363</v>
      </c>
      <c r="D12" t="s">
        <v>370</v>
      </c>
      <c r="E12" t="s">
        <v>381</v>
      </c>
      <c r="F12" t="s">
        <v>479</v>
      </c>
      <c r="G12">
        <v>3077</v>
      </c>
      <c r="H12">
        <v>0.95</v>
      </c>
      <c r="I12">
        <v>2923.15</v>
      </c>
      <c r="J12">
        <v>0.69</v>
      </c>
      <c r="K12">
        <v>2123.13</v>
      </c>
      <c r="L12">
        <v>800.02</v>
      </c>
    </row>
    <row r="13" spans="1:12" x14ac:dyDescent="0.25">
      <c r="A13">
        <v>12</v>
      </c>
      <c r="B13" t="s">
        <v>22</v>
      </c>
      <c r="C13" t="s">
        <v>366</v>
      </c>
      <c r="D13" t="s">
        <v>369</v>
      </c>
      <c r="E13" t="s">
        <v>382</v>
      </c>
      <c r="F13" t="s">
        <v>474</v>
      </c>
      <c r="G13">
        <v>2520</v>
      </c>
      <c r="H13">
        <v>1.32</v>
      </c>
      <c r="I13">
        <v>3326.4</v>
      </c>
      <c r="J13">
        <v>0.97</v>
      </c>
      <c r="K13">
        <v>2444.4</v>
      </c>
      <c r="L13">
        <v>882</v>
      </c>
    </row>
    <row r="14" spans="1:12" x14ac:dyDescent="0.25">
      <c r="A14">
        <v>13</v>
      </c>
      <c r="B14" t="s">
        <v>23</v>
      </c>
      <c r="C14" t="s">
        <v>364</v>
      </c>
      <c r="D14" t="s">
        <v>369</v>
      </c>
      <c r="E14" t="s">
        <v>383</v>
      </c>
      <c r="F14" t="s">
        <v>477</v>
      </c>
      <c r="G14">
        <v>1633</v>
      </c>
      <c r="H14">
        <v>1.1599999999999999</v>
      </c>
      <c r="I14">
        <v>1894.28</v>
      </c>
      <c r="J14">
        <v>0.72</v>
      </c>
      <c r="K14">
        <v>1175.76</v>
      </c>
      <c r="L14">
        <v>718.52</v>
      </c>
    </row>
    <row r="15" spans="1:12" x14ac:dyDescent="0.25">
      <c r="A15">
        <v>14</v>
      </c>
      <c r="B15" t="s">
        <v>24</v>
      </c>
      <c r="C15" t="s">
        <v>366</v>
      </c>
      <c r="D15" t="s">
        <v>367</v>
      </c>
      <c r="E15" t="s">
        <v>384</v>
      </c>
      <c r="F15" t="s">
        <v>480</v>
      </c>
      <c r="G15">
        <v>3958</v>
      </c>
      <c r="H15">
        <v>1.22</v>
      </c>
      <c r="I15">
        <v>4828.76</v>
      </c>
      <c r="J15">
        <v>0.85</v>
      </c>
      <c r="K15">
        <v>3364.3</v>
      </c>
      <c r="L15">
        <v>1464.46</v>
      </c>
    </row>
    <row r="16" spans="1:12" x14ac:dyDescent="0.25">
      <c r="A16">
        <v>15</v>
      </c>
      <c r="B16" t="s">
        <v>25</v>
      </c>
      <c r="C16" t="s">
        <v>365</v>
      </c>
      <c r="D16" t="s">
        <v>369</v>
      </c>
      <c r="E16" t="s">
        <v>385</v>
      </c>
      <c r="F16" t="s">
        <v>472</v>
      </c>
      <c r="G16">
        <v>1438</v>
      </c>
      <c r="H16">
        <v>1.28</v>
      </c>
      <c r="I16">
        <v>1840.64</v>
      </c>
      <c r="J16">
        <v>0.94</v>
      </c>
      <c r="K16">
        <v>1351.72</v>
      </c>
      <c r="L16">
        <v>488.92</v>
      </c>
    </row>
    <row r="17" spans="1:12" x14ac:dyDescent="0.25">
      <c r="A17">
        <v>16</v>
      </c>
      <c r="B17" t="s">
        <v>20</v>
      </c>
      <c r="C17" t="s">
        <v>363</v>
      </c>
      <c r="D17" t="s">
        <v>370</v>
      </c>
      <c r="E17" t="s">
        <v>386</v>
      </c>
      <c r="F17" t="s">
        <v>481</v>
      </c>
      <c r="G17">
        <v>1795</v>
      </c>
      <c r="H17">
        <v>1.1200000000000001</v>
      </c>
      <c r="I17">
        <v>2010.4</v>
      </c>
      <c r="J17">
        <v>0.94</v>
      </c>
      <c r="K17">
        <v>1687.3</v>
      </c>
      <c r="L17">
        <v>323.10000000000002</v>
      </c>
    </row>
    <row r="18" spans="1:12" x14ac:dyDescent="0.25">
      <c r="A18">
        <v>17</v>
      </c>
      <c r="B18" t="s">
        <v>26</v>
      </c>
      <c r="C18" t="s">
        <v>363</v>
      </c>
      <c r="D18" t="s">
        <v>368</v>
      </c>
      <c r="E18" t="s">
        <v>384</v>
      </c>
      <c r="F18" t="s">
        <v>482</v>
      </c>
      <c r="G18">
        <v>4658</v>
      </c>
      <c r="H18">
        <v>1.23</v>
      </c>
      <c r="I18">
        <v>5729.34</v>
      </c>
      <c r="J18">
        <v>0.78</v>
      </c>
      <c r="K18">
        <v>3633.24</v>
      </c>
      <c r="L18">
        <v>2096.1</v>
      </c>
    </row>
    <row r="19" spans="1:12" x14ac:dyDescent="0.25">
      <c r="A19">
        <v>18</v>
      </c>
      <c r="B19" t="s">
        <v>27</v>
      </c>
      <c r="C19" t="s">
        <v>365</v>
      </c>
      <c r="D19" t="s">
        <v>367</v>
      </c>
      <c r="E19" t="s">
        <v>387</v>
      </c>
      <c r="F19" t="s">
        <v>472</v>
      </c>
      <c r="G19">
        <v>1416</v>
      </c>
      <c r="H19">
        <v>1.45</v>
      </c>
      <c r="I19">
        <v>2053.1999999999998</v>
      </c>
      <c r="J19">
        <v>1.19</v>
      </c>
      <c r="K19">
        <v>1685.04</v>
      </c>
      <c r="L19">
        <v>368.16</v>
      </c>
    </row>
    <row r="20" spans="1:12" x14ac:dyDescent="0.25">
      <c r="A20">
        <v>19</v>
      </c>
      <c r="B20" t="s">
        <v>28</v>
      </c>
      <c r="C20" t="s">
        <v>363</v>
      </c>
      <c r="D20" t="s">
        <v>368</v>
      </c>
      <c r="E20" t="s">
        <v>388</v>
      </c>
      <c r="F20" t="s">
        <v>479</v>
      </c>
      <c r="G20">
        <v>1145</v>
      </c>
      <c r="H20">
        <v>0.86</v>
      </c>
      <c r="I20">
        <v>984.7</v>
      </c>
      <c r="J20">
        <v>0.62</v>
      </c>
      <c r="K20">
        <v>709.9</v>
      </c>
      <c r="L20">
        <v>274.8</v>
      </c>
    </row>
    <row r="21" spans="1:12" x14ac:dyDescent="0.25">
      <c r="A21">
        <v>20</v>
      </c>
      <c r="B21" t="s">
        <v>29</v>
      </c>
      <c r="C21" t="s">
        <v>366</v>
      </c>
      <c r="D21" t="s">
        <v>368</v>
      </c>
      <c r="E21" t="s">
        <v>389</v>
      </c>
      <c r="F21" t="s">
        <v>483</v>
      </c>
      <c r="G21">
        <v>1852</v>
      </c>
      <c r="H21">
        <v>0.99</v>
      </c>
      <c r="I21">
        <v>1833.48</v>
      </c>
      <c r="J21">
        <v>0.81</v>
      </c>
      <c r="K21">
        <v>1500.12</v>
      </c>
      <c r="L21">
        <v>333.36</v>
      </c>
    </row>
    <row r="22" spans="1:12" x14ac:dyDescent="0.25">
      <c r="A22">
        <v>21</v>
      </c>
      <c r="B22" t="s">
        <v>30</v>
      </c>
      <c r="C22" t="s">
        <v>366</v>
      </c>
      <c r="D22" t="s">
        <v>368</v>
      </c>
      <c r="E22" t="s">
        <v>390</v>
      </c>
      <c r="F22" t="s">
        <v>482</v>
      </c>
      <c r="G22">
        <v>3768</v>
      </c>
      <c r="H22">
        <v>1.5</v>
      </c>
      <c r="I22">
        <v>5652</v>
      </c>
      <c r="J22">
        <v>1.1399999999999999</v>
      </c>
      <c r="K22">
        <v>4295.5200000000004</v>
      </c>
      <c r="L22">
        <v>1356.48</v>
      </c>
    </row>
    <row r="23" spans="1:12" x14ac:dyDescent="0.25">
      <c r="A23">
        <v>22</v>
      </c>
      <c r="B23" t="s">
        <v>31</v>
      </c>
      <c r="C23" t="s">
        <v>363</v>
      </c>
      <c r="D23" t="s">
        <v>369</v>
      </c>
      <c r="E23" t="s">
        <v>391</v>
      </c>
      <c r="F23" t="s">
        <v>477</v>
      </c>
      <c r="G23">
        <v>1024</v>
      </c>
      <c r="H23">
        <v>1.04</v>
      </c>
      <c r="I23">
        <v>1064.96</v>
      </c>
      <c r="J23">
        <v>0.78</v>
      </c>
      <c r="K23">
        <v>798.72</v>
      </c>
      <c r="L23">
        <v>266.24</v>
      </c>
    </row>
    <row r="24" spans="1:12" x14ac:dyDescent="0.25">
      <c r="A24">
        <v>23</v>
      </c>
      <c r="B24" t="s">
        <v>32</v>
      </c>
      <c r="C24" t="s">
        <v>363</v>
      </c>
      <c r="D24" t="s">
        <v>368</v>
      </c>
      <c r="E24" t="s">
        <v>392</v>
      </c>
      <c r="F24" t="s">
        <v>478</v>
      </c>
      <c r="G24">
        <v>2375</v>
      </c>
      <c r="H24">
        <v>0.85</v>
      </c>
      <c r="I24">
        <v>2018.75</v>
      </c>
      <c r="J24">
        <v>0.52</v>
      </c>
      <c r="K24">
        <v>1235</v>
      </c>
      <c r="L24">
        <v>783.75</v>
      </c>
    </row>
    <row r="25" spans="1:12" x14ac:dyDescent="0.25">
      <c r="A25">
        <v>24</v>
      </c>
      <c r="B25" t="s">
        <v>33</v>
      </c>
      <c r="C25" t="s">
        <v>366</v>
      </c>
      <c r="D25" t="s">
        <v>367</v>
      </c>
      <c r="E25" t="s">
        <v>374</v>
      </c>
      <c r="F25" t="s">
        <v>483</v>
      </c>
      <c r="G25">
        <v>2255</v>
      </c>
      <c r="H25">
        <v>1.18</v>
      </c>
      <c r="I25">
        <v>2660.9</v>
      </c>
      <c r="J25">
        <v>0.92</v>
      </c>
      <c r="K25">
        <v>2074.6</v>
      </c>
      <c r="L25">
        <v>586.29999999999995</v>
      </c>
    </row>
    <row r="26" spans="1:12" x14ac:dyDescent="0.25">
      <c r="A26">
        <v>25</v>
      </c>
      <c r="B26" t="s">
        <v>34</v>
      </c>
      <c r="C26" t="s">
        <v>366</v>
      </c>
      <c r="D26" t="s">
        <v>369</v>
      </c>
      <c r="E26" t="s">
        <v>393</v>
      </c>
      <c r="F26" t="s">
        <v>481</v>
      </c>
      <c r="G26">
        <v>2059</v>
      </c>
      <c r="H26">
        <v>0.87</v>
      </c>
      <c r="I26">
        <v>1791.33</v>
      </c>
      <c r="J26">
        <v>0.67</v>
      </c>
      <c r="K26">
        <v>1379.53</v>
      </c>
      <c r="L26">
        <v>411.8</v>
      </c>
    </row>
    <row r="27" spans="1:12" x14ac:dyDescent="0.25">
      <c r="A27">
        <v>26</v>
      </c>
      <c r="B27" t="s">
        <v>35</v>
      </c>
      <c r="C27" t="s">
        <v>364</v>
      </c>
      <c r="D27" t="s">
        <v>369</v>
      </c>
      <c r="E27" t="s">
        <v>394</v>
      </c>
      <c r="F27" t="s">
        <v>478</v>
      </c>
      <c r="G27">
        <v>1306</v>
      </c>
      <c r="H27">
        <v>0.84</v>
      </c>
      <c r="I27">
        <v>1097.04</v>
      </c>
      <c r="J27">
        <v>0.66</v>
      </c>
      <c r="K27">
        <v>861.96</v>
      </c>
      <c r="L27">
        <v>235.08</v>
      </c>
    </row>
    <row r="28" spans="1:12" x14ac:dyDescent="0.25">
      <c r="A28">
        <v>27</v>
      </c>
      <c r="B28" t="s">
        <v>36</v>
      </c>
      <c r="C28" t="s">
        <v>366</v>
      </c>
      <c r="D28" t="s">
        <v>368</v>
      </c>
      <c r="E28" t="s">
        <v>395</v>
      </c>
      <c r="F28" t="s">
        <v>476</v>
      </c>
      <c r="G28">
        <v>4175</v>
      </c>
      <c r="H28">
        <v>0.9</v>
      </c>
      <c r="I28">
        <v>3757.5</v>
      </c>
      <c r="J28">
        <v>0.57999999999999996</v>
      </c>
      <c r="K28">
        <v>2421.5</v>
      </c>
      <c r="L28">
        <v>1336</v>
      </c>
    </row>
    <row r="29" spans="1:12" x14ac:dyDescent="0.25">
      <c r="A29">
        <v>28</v>
      </c>
      <c r="B29" t="s">
        <v>37</v>
      </c>
      <c r="C29" t="s">
        <v>363</v>
      </c>
      <c r="D29" t="s">
        <v>368</v>
      </c>
      <c r="E29" t="s">
        <v>396</v>
      </c>
      <c r="F29" t="s">
        <v>476</v>
      </c>
      <c r="G29">
        <v>1302</v>
      </c>
      <c r="H29">
        <v>0.84</v>
      </c>
      <c r="I29">
        <v>1093.68</v>
      </c>
      <c r="J29">
        <v>0.71</v>
      </c>
      <c r="K29">
        <v>924.42</v>
      </c>
      <c r="L29">
        <v>169.26</v>
      </c>
    </row>
    <row r="30" spans="1:12" x14ac:dyDescent="0.25">
      <c r="A30">
        <v>29</v>
      </c>
      <c r="B30" t="s">
        <v>38</v>
      </c>
      <c r="C30" t="s">
        <v>366</v>
      </c>
      <c r="D30" t="s">
        <v>367</v>
      </c>
      <c r="E30" t="s">
        <v>397</v>
      </c>
      <c r="F30" t="s">
        <v>481</v>
      </c>
      <c r="G30">
        <v>4478</v>
      </c>
      <c r="H30">
        <v>1.1399999999999999</v>
      </c>
      <c r="I30">
        <v>5104.92</v>
      </c>
      <c r="J30">
        <v>0.93</v>
      </c>
      <c r="K30">
        <v>4164.54</v>
      </c>
      <c r="L30">
        <v>940.38</v>
      </c>
    </row>
    <row r="31" spans="1:12" x14ac:dyDescent="0.25">
      <c r="A31">
        <v>30</v>
      </c>
      <c r="B31" t="s">
        <v>39</v>
      </c>
      <c r="C31" t="s">
        <v>364</v>
      </c>
      <c r="D31" t="s">
        <v>368</v>
      </c>
      <c r="E31" t="s">
        <v>398</v>
      </c>
      <c r="F31" t="s">
        <v>484</v>
      </c>
      <c r="G31">
        <v>2672</v>
      </c>
      <c r="H31">
        <v>1.45</v>
      </c>
      <c r="I31">
        <v>3874.4</v>
      </c>
      <c r="J31">
        <v>1.1499999999999999</v>
      </c>
      <c r="K31">
        <v>3072.8</v>
      </c>
      <c r="L31">
        <v>801.6</v>
      </c>
    </row>
    <row r="32" spans="1:12" x14ac:dyDescent="0.25">
      <c r="A32">
        <v>31</v>
      </c>
      <c r="B32" t="s">
        <v>40</v>
      </c>
      <c r="C32" t="s">
        <v>364</v>
      </c>
      <c r="D32" t="s">
        <v>369</v>
      </c>
      <c r="E32" t="s">
        <v>399</v>
      </c>
      <c r="F32" t="s">
        <v>485</v>
      </c>
      <c r="G32">
        <v>2930</v>
      </c>
      <c r="H32">
        <v>0.95</v>
      </c>
      <c r="I32">
        <v>2783.5</v>
      </c>
      <c r="J32">
        <v>0.57999999999999996</v>
      </c>
      <c r="K32">
        <v>1699.4</v>
      </c>
      <c r="L32">
        <v>1084.0999999999999</v>
      </c>
    </row>
    <row r="33" spans="1:12" x14ac:dyDescent="0.25">
      <c r="A33">
        <v>32</v>
      </c>
      <c r="B33" t="s">
        <v>41</v>
      </c>
      <c r="C33" t="s">
        <v>365</v>
      </c>
      <c r="D33" t="s">
        <v>367</v>
      </c>
      <c r="E33" t="s">
        <v>400</v>
      </c>
      <c r="F33" t="s">
        <v>478</v>
      </c>
      <c r="G33">
        <v>4405</v>
      </c>
      <c r="H33">
        <v>1.1499999999999999</v>
      </c>
      <c r="I33">
        <v>5065.75</v>
      </c>
      <c r="J33">
        <v>0.94</v>
      </c>
      <c r="K33">
        <v>4140.7</v>
      </c>
      <c r="L33">
        <v>925.05</v>
      </c>
    </row>
    <row r="34" spans="1:12" x14ac:dyDescent="0.25">
      <c r="A34">
        <v>33</v>
      </c>
      <c r="B34" t="s">
        <v>42</v>
      </c>
      <c r="C34" t="s">
        <v>363</v>
      </c>
      <c r="D34" t="s">
        <v>367</v>
      </c>
      <c r="E34" t="s">
        <v>401</v>
      </c>
      <c r="F34" t="s">
        <v>486</v>
      </c>
      <c r="G34">
        <v>1056</v>
      </c>
      <c r="H34">
        <v>1.27</v>
      </c>
      <c r="I34">
        <v>1341.12</v>
      </c>
      <c r="J34">
        <v>0.84</v>
      </c>
      <c r="K34">
        <v>887.04</v>
      </c>
      <c r="L34">
        <v>454.08</v>
      </c>
    </row>
    <row r="35" spans="1:12" x14ac:dyDescent="0.25">
      <c r="A35">
        <v>34</v>
      </c>
      <c r="B35" t="s">
        <v>43</v>
      </c>
      <c r="C35" t="s">
        <v>363</v>
      </c>
      <c r="D35" t="s">
        <v>368</v>
      </c>
      <c r="E35" t="s">
        <v>402</v>
      </c>
      <c r="F35" t="s">
        <v>486</v>
      </c>
      <c r="G35">
        <v>3934</v>
      </c>
      <c r="H35">
        <v>1.26</v>
      </c>
      <c r="I35">
        <v>4956.84</v>
      </c>
      <c r="J35">
        <v>0.93</v>
      </c>
      <c r="K35">
        <v>3658.62</v>
      </c>
      <c r="L35">
        <v>1298.22</v>
      </c>
    </row>
    <row r="36" spans="1:12" x14ac:dyDescent="0.25">
      <c r="A36">
        <v>35</v>
      </c>
      <c r="B36" t="s">
        <v>44</v>
      </c>
      <c r="C36" t="s">
        <v>366</v>
      </c>
      <c r="D36" t="s">
        <v>370</v>
      </c>
      <c r="E36" t="s">
        <v>403</v>
      </c>
      <c r="F36" t="s">
        <v>487</v>
      </c>
      <c r="G36">
        <v>2455</v>
      </c>
      <c r="H36">
        <v>0.99</v>
      </c>
      <c r="I36">
        <v>2430.4499999999998</v>
      </c>
      <c r="J36">
        <v>0.63</v>
      </c>
      <c r="K36">
        <v>1546.65</v>
      </c>
      <c r="L36">
        <v>883.8</v>
      </c>
    </row>
    <row r="37" spans="1:12" x14ac:dyDescent="0.25">
      <c r="A37">
        <v>36</v>
      </c>
      <c r="B37" t="s">
        <v>45</v>
      </c>
      <c r="C37" t="s">
        <v>364</v>
      </c>
      <c r="D37" t="s">
        <v>370</v>
      </c>
      <c r="E37" t="s">
        <v>404</v>
      </c>
      <c r="F37" t="s">
        <v>486</v>
      </c>
      <c r="G37">
        <v>576</v>
      </c>
      <c r="H37">
        <v>1.1200000000000001</v>
      </c>
      <c r="I37">
        <v>645.12</v>
      </c>
      <c r="J37">
        <v>0.95</v>
      </c>
      <c r="K37">
        <v>547.20000000000005</v>
      </c>
      <c r="L37">
        <v>97.92</v>
      </c>
    </row>
    <row r="38" spans="1:12" x14ac:dyDescent="0.25">
      <c r="A38">
        <v>37</v>
      </c>
      <c r="B38" t="s">
        <v>19</v>
      </c>
      <c r="C38" t="s">
        <v>366</v>
      </c>
      <c r="D38" t="s">
        <v>367</v>
      </c>
      <c r="E38" t="s">
        <v>405</v>
      </c>
      <c r="F38" t="s">
        <v>471</v>
      </c>
      <c r="G38">
        <v>1585</v>
      </c>
      <c r="H38">
        <v>1.45</v>
      </c>
      <c r="I38">
        <v>2298.25</v>
      </c>
      <c r="J38">
        <v>1.19</v>
      </c>
      <c r="K38">
        <v>1886.15</v>
      </c>
      <c r="L38">
        <v>412.1</v>
      </c>
    </row>
    <row r="39" spans="1:12" x14ac:dyDescent="0.25">
      <c r="A39">
        <v>38</v>
      </c>
      <c r="B39" t="s">
        <v>46</v>
      </c>
      <c r="C39" t="s">
        <v>365</v>
      </c>
      <c r="D39" t="s">
        <v>370</v>
      </c>
      <c r="E39" t="s">
        <v>406</v>
      </c>
      <c r="F39" t="s">
        <v>473</v>
      </c>
      <c r="G39">
        <v>4950</v>
      </c>
      <c r="H39">
        <v>1.29</v>
      </c>
      <c r="I39">
        <v>6385.5</v>
      </c>
      <c r="J39">
        <v>0.97</v>
      </c>
      <c r="K39">
        <v>4801.5</v>
      </c>
      <c r="L39">
        <v>1584</v>
      </c>
    </row>
    <row r="40" spans="1:12" x14ac:dyDescent="0.25">
      <c r="A40">
        <v>39</v>
      </c>
      <c r="B40" t="s">
        <v>47</v>
      </c>
      <c r="C40" t="s">
        <v>365</v>
      </c>
      <c r="D40" t="s">
        <v>367</v>
      </c>
      <c r="E40" t="s">
        <v>389</v>
      </c>
      <c r="F40" t="s">
        <v>488</v>
      </c>
      <c r="G40">
        <v>1600</v>
      </c>
      <c r="H40">
        <v>0.99</v>
      </c>
      <c r="I40">
        <v>1584</v>
      </c>
      <c r="J40">
        <v>0.81</v>
      </c>
      <c r="K40">
        <v>1296</v>
      </c>
      <c r="L40">
        <v>288</v>
      </c>
    </row>
    <row r="41" spans="1:12" x14ac:dyDescent="0.25">
      <c r="A41">
        <v>40</v>
      </c>
      <c r="B41" t="s">
        <v>48</v>
      </c>
      <c r="C41" t="s">
        <v>365</v>
      </c>
      <c r="D41" t="s">
        <v>368</v>
      </c>
      <c r="E41" t="s">
        <v>407</v>
      </c>
      <c r="F41" t="s">
        <v>489</v>
      </c>
      <c r="G41">
        <v>2225</v>
      </c>
      <c r="H41">
        <v>1.3</v>
      </c>
      <c r="I41">
        <v>2892.5</v>
      </c>
      <c r="J41">
        <v>0.85</v>
      </c>
      <c r="K41">
        <v>1891.25</v>
      </c>
      <c r="L41">
        <v>1001.25</v>
      </c>
    </row>
    <row r="42" spans="1:12" x14ac:dyDescent="0.25">
      <c r="A42">
        <v>41</v>
      </c>
      <c r="B42" t="s">
        <v>49</v>
      </c>
      <c r="C42" t="s">
        <v>364</v>
      </c>
      <c r="D42" t="s">
        <v>370</v>
      </c>
      <c r="E42" t="s">
        <v>408</v>
      </c>
      <c r="F42" t="s">
        <v>478</v>
      </c>
      <c r="G42">
        <v>1256</v>
      </c>
      <c r="H42">
        <v>1.24</v>
      </c>
      <c r="I42">
        <v>1557.44</v>
      </c>
      <c r="J42">
        <v>1</v>
      </c>
      <c r="K42">
        <v>1256</v>
      </c>
      <c r="L42">
        <v>301.44</v>
      </c>
    </row>
    <row r="43" spans="1:12" x14ac:dyDescent="0.25">
      <c r="A43">
        <v>42</v>
      </c>
      <c r="B43" t="s">
        <v>50</v>
      </c>
      <c r="C43" t="s">
        <v>365</v>
      </c>
      <c r="D43" t="s">
        <v>367</v>
      </c>
      <c r="E43" t="s">
        <v>380</v>
      </c>
      <c r="F43" t="s">
        <v>474</v>
      </c>
      <c r="G43">
        <v>2645</v>
      </c>
      <c r="H43">
        <v>0.91</v>
      </c>
      <c r="I43">
        <v>2406.9499999999998</v>
      </c>
      <c r="J43">
        <v>0.65</v>
      </c>
      <c r="K43">
        <v>1719.25</v>
      </c>
      <c r="L43">
        <v>687.7</v>
      </c>
    </row>
    <row r="44" spans="1:12" x14ac:dyDescent="0.25">
      <c r="A44">
        <v>43</v>
      </c>
      <c r="B44" t="s">
        <v>51</v>
      </c>
      <c r="C44" t="s">
        <v>363</v>
      </c>
      <c r="D44" t="s">
        <v>369</v>
      </c>
      <c r="E44" t="s">
        <v>409</v>
      </c>
      <c r="F44" t="s">
        <v>486</v>
      </c>
      <c r="G44">
        <v>1721</v>
      </c>
      <c r="H44">
        <v>1.18</v>
      </c>
      <c r="I44">
        <v>2030.78</v>
      </c>
      <c r="J44">
        <v>0.95</v>
      </c>
      <c r="K44">
        <v>1634.95</v>
      </c>
      <c r="L44">
        <v>395.83</v>
      </c>
    </row>
    <row r="45" spans="1:12" x14ac:dyDescent="0.25">
      <c r="A45">
        <v>44</v>
      </c>
      <c r="B45" t="s">
        <v>52</v>
      </c>
      <c r="C45" t="s">
        <v>364</v>
      </c>
      <c r="D45" t="s">
        <v>368</v>
      </c>
      <c r="E45" t="s">
        <v>410</v>
      </c>
      <c r="F45" t="s">
        <v>478</v>
      </c>
      <c r="G45">
        <v>3025</v>
      </c>
      <c r="H45">
        <v>1.06</v>
      </c>
      <c r="I45">
        <v>3206.5</v>
      </c>
      <c r="J45">
        <v>0.88</v>
      </c>
      <c r="K45">
        <v>2662</v>
      </c>
      <c r="L45">
        <v>544.5</v>
      </c>
    </row>
    <row r="46" spans="1:12" x14ac:dyDescent="0.25">
      <c r="A46">
        <v>45</v>
      </c>
      <c r="B46" t="s">
        <v>53</v>
      </c>
      <c r="C46" t="s">
        <v>366</v>
      </c>
      <c r="D46" t="s">
        <v>370</v>
      </c>
      <c r="E46" t="s">
        <v>411</v>
      </c>
      <c r="F46" t="s">
        <v>477</v>
      </c>
      <c r="G46">
        <v>1342</v>
      </c>
      <c r="H46">
        <v>1.05</v>
      </c>
      <c r="I46">
        <v>1409.1</v>
      </c>
      <c r="J46">
        <v>0.78</v>
      </c>
      <c r="K46">
        <v>1046.76</v>
      </c>
      <c r="L46">
        <v>362.34</v>
      </c>
    </row>
    <row r="47" spans="1:12" x14ac:dyDescent="0.25">
      <c r="A47">
        <v>46</v>
      </c>
      <c r="B47" t="s">
        <v>54</v>
      </c>
      <c r="C47" t="s">
        <v>366</v>
      </c>
      <c r="D47" t="s">
        <v>368</v>
      </c>
      <c r="E47" t="s">
        <v>406</v>
      </c>
      <c r="F47" t="s">
        <v>480</v>
      </c>
      <c r="G47">
        <v>3877</v>
      </c>
      <c r="H47">
        <v>0.82</v>
      </c>
      <c r="I47">
        <v>3179.14</v>
      </c>
      <c r="J47">
        <v>0.64</v>
      </c>
      <c r="K47">
        <v>2481.2800000000002</v>
      </c>
      <c r="L47">
        <v>697.86</v>
      </c>
    </row>
    <row r="48" spans="1:12" x14ac:dyDescent="0.25">
      <c r="A48">
        <v>47</v>
      </c>
      <c r="B48" t="s">
        <v>55</v>
      </c>
      <c r="C48" t="s">
        <v>366</v>
      </c>
      <c r="D48" t="s">
        <v>369</v>
      </c>
      <c r="E48" t="s">
        <v>412</v>
      </c>
      <c r="F48" t="s">
        <v>480</v>
      </c>
      <c r="G48">
        <v>1385</v>
      </c>
      <c r="H48">
        <v>1.07</v>
      </c>
      <c r="I48">
        <v>1481.95</v>
      </c>
      <c r="J48">
        <v>0.65</v>
      </c>
      <c r="K48">
        <v>900.25</v>
      </c>
      <c r="L48">
        <v>581.70000000000005</v>
      </c>
    </row>
    <row r="49" spans="1:12" x14ac:dyDescent="0.25">
      <c r="A49">
        <v>48</v>
      </c>
      <c r="B49" t="s">
        <v>56</v>
      </c>
      <c r="C49" t="s">
        <v>366</v>
      </c>
      <c r="D49" t="s">
        <v>368</v>
      </c>
      <c r="E49" t="s">
        <v>378</v>
      </c>
      <c r="F49" t="s">
        <v>475</v>
      </c>
      <c r="G49">
        <v>3000</v>
      </c>
      <c r="H49">
        <v>1.37</v>
      </c>
      <c r="I49">
        <v>4110</v>
      </c>
      <c r="J49">
        <v>1.1200000000000001</v>
      </c>
      <c r="K49">
        <v>3360</v>
      </c>
      <c r="L49">
        <v>750</v>
      </c>
    </row>
    <row r="50" spans="1:12" x14ac:dyDescent="0.25">
      <c r="A50">
        <v>49</v>
      </c>
      <c r="B50" t="s">
        <v>57</v>
      </c>
      <c r="C50" t="s">
        <v>366</v>
      </c>
      <c r="D50" t="s">
        <v>367</v>
      </c>
      <c r="E50" t="s">
        <v>413</v>
      </c>
      <c r="F50" t="s">
        <v>487</v>
      </c>
      <c r="G50">
        <v>2782</v>
      </c>
      <c r="H50">
        <v>1.41</v>
      </c>
      <c r="I50">
        <v>3922.62</v>
      </c>
      <c r="J50">
        <v>1.19</v>
      </c>
      <c r="K50">
        <v>3310.58</v>
      </c>
      <c r="L50">
        <v>612.04</v>
      </c>
    </row>
    <row r="51" spans="1:12" x14ac:dyDescent="0.25">
      <c r="A51">
        <v>50</v>
      </c>
      <c r="B51" t="s">
        <v>58</v>
      </c>
      <c r="C51" t="s">
        <v>364</v>
      </c>
      <c r="D51" t="s">
        <v>370</v>
      </c>
      <c r="E51" t="s">
        <v>414</v>
      </c>
      <c r="F51" t="s">
        <v>476</v>
      </c>
      <c r="G51">
        <v>3212</v>
      </c>
      <c r="H51">
        <v>1.46</v>
      </c>
      <c r="I51">
        <v>4689.5200000000004</v>
      </c>
      <c r="J51">
        <v>0.92</v>
      </c>
      <c r="K51">
        <v>2955.04</v>
      </c>
      <c r="L51">
        <v>1734.48</v>
      </c>
    </row>
    <row r="52" spans="1:12" x14ac:dyDescent="0.25">
      <c r="A52">
        <v>51</v>
      </c>
      <c r="B52" t="s">
        <v>59</v>
      </c>
      <c r="C52" t="s">
        <v>365</v>
      </c>
      <c r="D52" t="s">
        <v>368</v>
      </c>
      <c r="E52" t="s">
        <v>372</v>
      </c>
      <c r="F52" t="s">
        <v>488</v>
      </c>
      <c r="G52">
        <v>4059</v>
      </c>
      <c r="H52">
        <v>1.04</v>
      </c>
      <c r="I52">
        <v>4221.3599999999997</v>
      </c>
      <c r="J52">
        <v>0.83</v>
      </c>
      <c r="K52">
        <v>3368.97</v>
      </c>
      <c r="L52">
        <v>852.39</v>
      </c>
    </row>
    <row r="53" spans="1:12" x14ac:dyDescent="0.25">
      <c r="A53">
        <v>52</v>
      </c>
      <c r="B53" t="s">
        <v>60</v>
      </c>
      <c r="C53" t="s">
        <v>364</v>
      </c>
      <c r="D53" t="s">
        <v>367</v>
      </c>
      <c r="E53" t="s">
        <v>415</v>
      </c>
      <c r="F53" t="s">
        <v>485</v>
      </c>
      <c r="G53">
        <v>2586</v>
      </c>
      <c r="H53">
        <v>0.83</v>
      </c>
      <c r="I53">
        <v>2146.38</v>
      </c>
      <c r="J53">
        <v>0.59</v>
      </c>
      <c r="K53">
        <v>1525.74</v>
      </c>
      <c r="L53">
        <v>620.64</v>
      </c>
    </row>
    <row r="54" spans="1:12" x14ac:dyDescent="0.25">
      <c r="A54">
        <v>53</v>
      </c>
      <c r="B54" t="s">
        <v>61</v>
      </c>
      <c r="C54" t="s">
        <v>365</v>
      </c>
      <c r="D54" t="s">
        <v>368</v>
      </c>
      <c r="E54" t="s">
        <v>416</v>
      </c>
      <c r="F54" t="s">
        <v>486</v>
      </c>
      <c r="G54">
        <v>3204</v>
      </c>
      <c r="H54">
        <v>1.24</v>
      </c>
      <c r="I54">
        <v>3972.96</v>
      </c>
      <c r="J54">
        <v>0.95</v>
      </c>
      <c r="K54">
        <v>3043.8</v>
      </c>
      <c r="L54">
        <v>929.16</v>
      </c>
    </row>
    <row r="55" spans="1:12" x14ac:dyDescent="0.25">
      <c r="A55">
        <v>54</v>
      </c>
      <c r="B55" t="s">
        <v>62</v>
      </c>
      <c r="C55" t="s">
        <v>365</v>
      </c>
      <c r="D55" t="s">
        <v>370</v>
      </c>
      <c r="E55" t="s">
        <v>403</v>
      </c>
      <c r="F55" t="s">
        <v>481</v>
      </c>
      <c r="G55">
        <v>3172</v>
      </c>
      <c r="H55">
        <v>1.08</v>
      </c>
      <c r="I55">
        <v>3425.76</v>
      </c>
      <c r="J55">
        <v>0.73</v>
      </c>
      <c r="K55">
        <v>2315.56</v>
      </c>
      <c r="L55">
        <v>1110.2</v>
      </c>
    </row>
    <row r="56" spans="1:12" x14ac:dyDescent="0.25">
      <c r="A56">
        <v>55</v>
      </c>
      <c r="B56" t="s">
        <v>63</v>
      </c>
      <c r="C56" t="s">
        <v>364</v>
      </c>
      <c r="D56" t="s">
        <v>368</v>
      </c>
      <c r="E56" t="s">
        <v>403</v>
      </c>
      <c r="F56" t="s">
        <v>484</v>
      </c>
      <c r="G56">
        <v>1925</v>
      </c>
      <c r="H56">
        <v>1.23</v>
      </c>
      <c r="I56">
        <v>2367.75</v>
      </c>
      <c r="J56">
        <v>0.83</v>
      </c>
      <c r="K56">
        <v>1597.75</v>
      </c>
      <c r="L56">
        <v>770</v>
      </c>
    </row>
    <row r="57" spans="1:12" x14ac:dyDescent="0.25">
      <c r="A57">
        <v>56</v>
      </c>
      <c r="B57" t="s">
        <v>64</v>
      </c>
      <c r="C57" t="s">
        <v>365</v>
      </c>
      <c r="D57" t="s">
        <v>367</v>
      </c>
      <c r="E57" t="s">
        <v>407</v>
      </c>
      <c r="F57" t="s">
        <v>485</v>
      </c>
      <c r="G57">
        <v>4021</v>
      </c>
      <c r="H57">
        <v>1.35</v>
      </c>
      <c r="I57">
        <v>5428.35</v>
      </c>
      <c r="J57">
        <v>1.01</v>
      </c>
      <c r="K57">
        <v>4061.21</v>
      </c>
      <c r="L57">
        <v>1367.14</v>
      </c>
    </row>
    <row r="58" spans="1:12" x14ac:dyDescent="0.25">
      <c r="A58">
        <v>57</v>
      </c>
      <c r="B58" t="s">
        <v>65</v>
      </c>
      <c r="C58" t="s">
        <v>364</v>
      </c>
      <c r="D58" t="s">
        <v>369</v>
      </c>
      <c r="E58" t="s">
        <v>396</v>
      </c>
      <c r="F58" t="s">
        <v>485</v>
      </c>
      <c r="G58">
        <v>4687</v>
      </c>
      <c r="H58">
        <v>1.1299999999999999</v>
      </c>
      <c r="I58">
        <v>5296.31</v>
      </c>
      <c r="J58">
        <v>0.93</v>
      </c>
      <c r="K58">
        <v>4358.91</v>
      </c>
      <c r="L58">
        <v>937.4</v>
      </c>
    </row>
    <row r="59" spans="1:12" x14ac:dyDescent="0.25">
      <c r="A59">
        <v>58</v>
      </c>
      <c r="B59" t="s">
        <v>66</v>
      </c>
      <c r="C59" t="s">
        <v>365</v>
      </c>
      <c r="D59" t="s">
        <v>367</v>
      </c>
      <c r="E59" t="s">
        <v>417</v>
      </c>
      <c r="F59" t="s">
        <v>489</v>
      </c>
      <c r="G59">
        <v>3245</v>
      </c>
      <c r="H59">
        <v>0.87</v>
      </c>
      <c r="I59">
        <v>2823.15</v>
      </c>
      <c r="J59">
        <v>0.73</v>
      </c>
      <c r="K59">
        <v>2368.85</v>
      </c>
      <c r="L59">
        <v>454.3</v>
      </c>
    </row>
    <row r="60" spans="1:12" x14ac:dyDescent="0.25">
      <c r="A60">
        <v>59</v>
      </c>
      <c r="B60" t="s">
        <v>67</v>
      </c>
      <c r="C60" t="s">
        <v>366</v>
      </c>
      <c r="D60" t="s">
        <v>370</v>
      </c>
      <c r="E60" t="s">
        <v>418</v>
      </c>
      <c r="F60" t="s">
        <v>474</v>
      </c>
      <c r="G60">
        <v>700</v>
      </c>
      <c r="H60">
        <v>0.83</v>
      </c>
      <c r="I60">
        <v>581</v>
      </c>
      <c r="J60">
        <v>0.7</v>
      </c>
      <c r="K60">
        <v>490</v>
      </c>
      <c r="L60">
        <v>91</v>
      </c>
    </row>
    <row r="61" spans="1:12" x14ac:dyDescent="0.25">
      <c r="A61">
        <v>60</v>
      </c>
      <c r="B61" t="s">
        <v>68</v>
      </c>
      <c r="C61" t="s">
        <v>364</v>
      </c>
      <c r="D61" t="s">
        <v>367</v>
      </c>
      <c r="E61" t="s">
        <v>419</v>
      </c>
      <c r="F61" t="s">
        <v>479</v>
      </c>
      <c r="G61">
        <v>2092</v>
      </c>
      <c r="H61">
        <v>1.3</v>
      </c>
      <c r="I61">
        <v>2719.6</v>
      </c>
      <c r="J61">
        <v>0.9</v>
      </c>
      <c r="K61">
        <v>1882.8</v>
      </c>
      <c r="L61">
        <v>836.8</v>
      </c>
    </row>
    <row r="62" spans="1:12" x14ac:dyDescent="0.25">
      <c r="A62">
        <v>61</v>
      </c>
      <c r="B62" t="s">
        <v>69</v>
      </c>
      <c r="C62" t="s">
        <v>366</v>
      </c>
      <c r="D62" t="s">
        <v>368</v>
      </c>
      <c r="E62" t="s">
        <v>420</v>
      </c>
      <c r="F62" t="s">
        <v>472</v>
      </c>
      <c r="G62">
        <v>1373</v>
      </c>
      <c r="H62">
        <v>1.34</v>
      </c>
      <c r="I62">
        <v>1839.82</v>
      </c>
      <c r="J62">
        <v>0.88</v>
      </c>
      <c r="K62">
        <v>1208.24</v>
      </c>
      <c r="L62">
        <v>631.58000000000004</v>
      </c>
    </row>
    <row r="63" spans="1:12" x14ac:dyDescent="0.25">
      <c r="A63">
        <v>62</v>
      </c>
      <c r="B63" t="s">
        <v>70</v>
      </c>
      <c r="C63" t="s">
        <v>363</v>
      </c>
      <c r="D63" t="s">
        <v>369</v>
      </c>
      <c r="E63" t="s">
        <v>421</v>
      </c>
      <c r="F63" t="s">
        <v>477</v>
      </c>
      <c r="G63">
        <v>1494</v>
      </c>
      <c r="H63">
        <v>1.1200000000000001</v>
      </c>
      <c r="I63">
        <v>1673.28</v>
      </c>
      <c r="J63">
        <v>0.9</v>
      </c>
      <c r="K63">
        <v>1344.6</v>
      </c>
      <c r="L63">
        <v>328.68</v>
      </c>
    </row>
    <row r="64" spans="1:12" x14ac:dyDescent="0.25">
      <c r="A64">
        <v>63</v>
      </c>
      <c r="B64" t="s">
        <v>71</v>
      </c>
      <c r="C64" t="s">
        <v>364</v>
      </c>
      <c r="D64" t="s">
        <v>370</v>
      </c>
      <c r="E64" t="s">
        <v>422</v>
      </c>
      <c r="F64" t="s">
        <v>490</v>
      </c>
      <c r="G64">
        <v>3995</v>
      </c>
      <c r="H64">
        <v>1.38</v>
      </c>
      <c r="I64">
        <v>5513.1</v>
      </c>
      <c r="J64">
        <v>1.02</v>
      </c>
      <c r="K64">
        <v>4074.9</v>
      </c>
      <c r="L64">
        <v>1438.2</v>
      </c>
    </row>
    <row r="65" spans="1:12" x14ac:dyDescent="0.25">
      <c r="A65">
        <v>64</v>
      </c>
      <c r="B65" t="s">
        <v>15</v>
      </c>
      <c r="C65" t="s">
        <v>364</v>
      </c>
      <c r="D65" t="s">
        <v>369</v>
      </c>
      <c r="E65" t="s">
        <v>382</v>
      </c>
      <c r="F65" t="s">
        <v>477</v>
      </c>
      <c r="G65">
        <v>2771</v>
      </c>
      <c r="H65">
        <v>1.34</v>
      </c>
      <c r="I65">
        <v>3713.14</v>
      </c>
      <c r="J65">
        <v>0.98</v>
      </c>
      <c r="K65">
        <v>2715.58</v>
      </c>
      <c r="L65">
        <v>997.56</v>
      </c>
    </row>
    <row r="66" spans="1:12" x14ac:dyDescent="0.25">
      <c r="A66">
        <v>65</v>
      </c>
      <c r="B66" t="s">
        <v>72</v>
      </c>
      <c r="C66" t="s">
        <v>365</v>
      </c>
      <c r="D66" t="s">
        <v>368</v>
      </c>
      <c r="E66" t="s">
        <v>396</v>
      </c>
      <c r="F66" t="s">
        <v>486</v>
      </c>
      <c r="G66">
        <v>2840</v>
      </c>
      <c r="H66">
        <v>0.96</v>
      </c>
      <c r="I66">
        <v>2726.4</v>
      </c>
      <c r="J66">
        <v>0.66</v>
      </c>
      <c r="K66">
        <v>1874.4</v>
      </c>
      <c r="L66">
        <v>852</v>
      </c>
    </row>
    <row r="67" spans="1:12" x14ac:dyDescent="0.25">
      <c r="A67">
        <v>66</v>
      </c>
      <c r="B67" t="s">
        <v>73</v>
      </c>
      <c r="C67" t="s">
        <v>366</v>
      </c>
      <c r="D67" t="s">
        <v>367</v>
      </c>
      <c r="E67" t="s">
        <v>399</v>
      </c>
      <c r="F67" t="s">
        <v>477</v>
      </c>
      <c r="G67">
        <v>3637</v>
      </c>
      <c r="H67">
        <v>1.29</v>
      </c>
      <c r="I67">
        <v>4691.7299999999996</v>
      </c>
      <c r="J67">
        <v>1</v>
      </c>
      <c r="K67">
        <v>3637</v>
      </c>
      <c r="L67">
        <v>1054.73</v>
      </c>
    </row>
    <row r="68" spans="1:12" x14ac:dyDescent="0.25">
      <c r="A68">
        <v>67</v>
      </c>
      <c r="B68" t="s">
        <v>74</v>
      </c>
      <c r="C68" t="s">
        <v>364</v>
      </c>
      <c r="D68" t="s">
        <v>369</v>
      </c>
      <c r="E68" t="s">
        <v>423</v>
      </c>
      <c r="F68" t="s">
        <v>476</v>
      </c>
      <c r="G68">
        <v>4316</v>
      </c>
      <c r="H68">
        <v>1.0900000000000001</v>
      </c>
      <c r="I68">
        <v>4704.4399999999996</v>
      </c>
      <c r="J68">
        <v>0.71</v>
      </c>
      <c r="K68">
        <v>3064.36</v>
      </c>
      <c r="L68">
        <v>1640.08</v>
      </c>
    </row>
    <row r="69" spans="1:12" x14ac:dyDescent="0.25">
      <c r="A69">
        <v>68</v>
      </c>
      <c r="B69" t="s">
        <v>75</v>
      </c>
      <c r="C69" t="s">
        <v>363</v>
      </c>
      <c r="D69" t="s">
        <v>369</v>
      </c>
      <c r="E69" t="s">
        <v>424</v>
      </c>
      <c r="F69" t="s">
        <v>479</v>
      </c>
      <c r="G69">
        <v>3616</v>
      </c>
      <c r="H69">
        <v>1.1299999999999999</v>
      </c>
      <c r="I69">
        <v>4086.08</v>
      </c>
      <c r="J69">
        <v>0.94</v>
      </c>
      <c r="K69">
        <v>3399.04</v>
      </c>
      <c r="L69">
        <v>687.04</v>
      </c>
    </row>
    <row r="70" spans="1:12" x14ac:dyDescent="0.25">
      <c r="A70">
        <v>69</v>
      </c>
      <c r="B70" t="s">
        <v>76</v>
      </c>
      <c r="C70" t="s">
        <v>364</v>
      </c>
      <c r="D70" t="s">
        <v>369</v>
      </c>
      <c r="E70" t="s">
        <v>379</v>
      </c>
      <c r="F70" t="s">
        <v>476</v>
      </c>
      <c r="G70">
        <v>2306</v>
      </c>
      <c r="H70">
        <v>1.1399999999999999</v>
      </c>
      <c r="I70">
        <v>2628.84</v>
      </c>
      <c r="J70">
        <v>0.76</v>
      </c>
      <c r="K70">
        <v>1752.56</v>
      </c>
      <c r="L70">
        <v>876.28</v>
      </c>
    </row>
    <row r="71" spans="1:12" x14ac:dyDescent="0.25">
      <c r="A71">
        <v>70</v>
      </c>
      <c r="B71" t="s">
        <v>77</v>
      </c>
      <c r="C71" t="s">
        <v>364</v>
      </c>
      <c r="D71" t="s">
        <v>367</v>
      </c>
      <c r="E71" t="s">
        <v>425</v>
      </c>
      <c r="F71" t="s">
        <v>484</v>
      </c>
      <c r="G71">
        <v>1852</v>
      </c>
      <c r="H71">
        <v>1.39</v>
      </c>
      <c r="I71">
        <v>2574.2800000000002</v>
      </c>
      <c r="J71">
        <v>1.1499999999999999</v>
      </c>
      <c r="K71">
        <v>2129.8000000000002</v>
      </c>
      <c r="L71">
        <v>444.48</v>
      </c>
    </row>
    <row r="72" spans="1:12" x14ac:dyDescent="0.25">
      <c r="A72">
        <v>71</v>
      </c>
      <c r="B72" t="s">
        <v>78</v>
      </c>
      <c r="C72" t="s">
        <v>364</v>
      </c>
      <c r="D72" t="s">
        <v>367</v>
      </c>
      <c r="E72" t="s">
        <v>426</v>
      </c>
      <c r="F72" t="s">
        <v>479</v>
      </c>
      <c r="G72">
        <v>722</v>
      </c>
      <c r="H72">
        <v>0.86</v>
      </c>
      <c r="I72">
        <v>620.91999999999996</v>
      </c>
      <c r="J72">
        <v>0.61</v>
      </c>
      <c r="K72">
        <v>440.42</v>
      </c>
      <c r="L72">
        <v>180.5</v>
      </c>
    </row>
    <row r="73" spans="1:12" x14ac:dyDescent="0.25">
      <c r="A73">
        <v>72</v>
      </c>
      <c r="B73" t="s">
        <v>37</v>
      </c>
      <c r="C73" t="s">
        <v>363</v>
      </c>
      <c r="D73" t="s">
        <v>368</v>
      </c>
      <c r="E73" t="s">
        <v>382</v>
      </c>
      <c r="F73" t="s">
        <v>484</v>
      </c>
      <c r="G73">
        <v>3181</v>
      </c>
      <c r="H73">
        <v>0.95</v>
      </c>
      <c r="I73">
        <v>3021.95</v>
      </c>
      <c r="J73">
        <v>0.65</v>
      </c>
      <c r="K73">
        <v>2067.65</v>
      </c>
      <c r="L73">
        <v>954.3</v>
      </c>
    </row>
    <row r="74" spans="1:12" x14ac:dyDescent="0.25">
      <c r="A74">
        <v>73</v>
      </c>
      <c r="B74" t="s">
        <v>79</v>
      </c>
      <c r="C74" t="s">
        <v>364</v>
      </c>
      <c r="D74" t="s">
        <v>370</v>
      </c>
      <c r="E74" t="s">
        <v>408</v>
      </c>
      <c r="F74" t="s">
        <v>486</v>
      </c>
      <c r="G74">
        <v>4352</v>
      </c>
      <c r="H74">
        <v>0.81</v>
      </c>
      <c r="I74">
        <v>3525.12</v>
      </c>
      <c r="J74">
        <v>0.6</v>
      </c>
      <c r="K74">
        <v>2611.1999999999998</v>
      </c>
      <c r="L74">
        <v>913.92</v>
      </c>
    </row>
    <row r="75" spans="1:12" x14ac:dyDescent="0.25">
      <c r="A75">
        <v>74</v>
      </c>
      <c r="B75" t="s">
        <v>80</v>
      </c>
      <c r="C75" t="s">
        <v>363</v>
      </c>
      <c r="D75" t="s">
        <v>368</v>
      </c>
      <c r="E75" t="s">
        <v>427</v>
      </c>
      <c r="F75" t="s">
        <v>478</v>
      </c>
      <c r="G75">
        <v>754</v>
      </c>
      <c r="H75">
        <v>1.46</v>
      </c>
      <c r="I75">
        <v>1100.8399999999999</v>
      </c>
      <c r="J75">
        <v>0.95</v>
      </c>
      <c r="K75">
        <v>716.3</v>
      </c>
      <c r="L75">
        <v>384.54</v>
      </c>
    </row>
    <row r="76" spans="1:12" x14ac:dyDescent="0.25">
      <c r="A76">
        <v>75</v>
      </c>
      <c r="B76" t="s">
        <v>81</v>
      </c>
      <c r="C76" t="s">
        <v>366</v>
      </c>
      <c r="D76" t="s">
        <v>368</v>
      </c>
      <c r="E76" t="s">
        <v>410</v>
      </c>
      <c r="F76" t="s">
        <v>483</v>
      </c>
      <c r="G76">
        <v>1437</v>
      </c>
      <c r="H76">
        <v>1.19</v>
      </c>
      <c r="I76">
        <v>1710.03</v>
      </c>
      <c r="J76">
        <v>0.78</v>
      </c>
      <c r="K76">
        <v>1120.8599999999999</v>
      </c>
      <c r="L76">
        <v>589.16999999999996</v>
      </c>
    </row>
    <row r="77" spans="1:12" x14ac:dyDescent="0.25">
      <c r="A77">
        <v>76</v>
      </c>
      <c r="B77" t="s">
        <v>82</v>
      </c>
      <c r="C77" t="s">
        <v>365</v>
      </c>
      <c r="D77" t="s">
        <v>370</v>
      </c>
      <c r="E77" t="s">
        <v>397</v>
      </c>
      <c r="F77" t="s">
        <v>489</v>
      </c>
      <c r="G77">
        <v>1438</v>
      </c>
      <c r="H77">
        <v>1.34</v>
      </c>
      <c r="I77">
        <v>1926.92</v>
      </c>
      <c r="J77">
        <v>0.86</v>
      </c>
      <c r="K77">
        <v>1236.68</v>
      </c>
      <c r="L77">
        <v>690.24</v>
      </c>
    </row>
    <row r="78" spans="1:12" x14ac:dyDescent="0.25">
      <c r="A78">
        <v>77</v>
      </c>
      <c r="B78" t="s">
        <v>83</v>
      </c>
      <c r="C78" t="s">
        <v>363</v>
      </c>
      <c r="D78" t="s">
        <v>367</v>
      </c>
      <c r="E78" t="s">
        <v>428</v>
      </c>
      <c r="F78" t="s">
        <v>479</v>
      </c>
      <c r="G78">
        <v>3574</v>
      </c>
      <c r="H78">
        <v>1.08</v>
      </c>
      <c r="I78">
        <v>3859.92</v>
      </c>
      <c r="J78">
        <v>0.84</v>
      </c>
      <c r="K78">
        <v>3002.16</v>
      </c>
      <c r="L78">
        <v>857.76</v>
      </c>
    </row>
    <row r="79" spans="1:12" x14ac:dyDescent="0.25">
      <c r="A79">
        <v>78</v>
      </c>
      <c r="B79" t="s">
        <v>84</v>
      </c>
      <c r="C79" t="s">
        <v>363</v>
      </c>
      <c r="D79" t="s">
        <v>368</v>
      </c>
      <c r="E79" t="s">
        <v>429</v>
      </c>
      <c r="F79" t="s">
        <v>482</v>
      </c>
      <c r="G79">
        <v>1491</v>
      </c>
      <c r="H79">
        <v>1.36</v>
      </c>
      <c r="I79">
        <v>2027.76</v>
      </c>
      <c r="J79">
        <v>1.01</v>
      </c>
      <c r="K79">
        <v>1505.91</v>
      </c>
      <c r="L79">
        <v>521.85</v>
      </c>
    </row>
    <row r="80" spans="1:12" x14ac:dyDescent="0.25">
      <c r="A80">
        <v>79</v>
      </c>
      <c r="B80" t="s">
        <v>85</v>
      </c>
      <c r="C80" t="s">
        <v>364</v>
      </c>
      <c r="D80" t="s">
        <v>370</v>
      </c>
      <c r="E80" t="s">
        <v>389</v>
      </c>
      <c r="F80" t="s">
        <v>475</v>
      </c>
      <c r="G80">
        <v>1064</v>
      </c>
      <c r="H80">
        <v>1.1499999999999999</v>
      </c>
      <c r="I80">
        <v>1223.5999999999999</v>
      </c>
      <c r="J80">
        <v>0.79</v>
      </c>
      <c r="K80">
        <v>840.56</v>
      </c>
      <c r="L80">
        <v>383.04</v>
      </c>
    </row>
    <row r="81" spans="1:12" x14ac:dyDescent="0.25">
      <c r="A81">
        <v>80</v>
      </c>
      <c r="B81" t="s">
        <v>75</v>
      </c>
      <c r="C81" t="s">
        <v>363</v>
      </c>
      <c r="D81" t="s">
        <v>369</v>
      </c>
      <c r="E81" t="s">
        <v>416</v>
      </c>
      <c r="F81" t="s">
        <v>475</v>
      </c>
      <c r="G81">
        <v>4266</v>
      </c>
      <c r="H81">
        <v>1.3</v>
      </c>
      <c r="I81">
        <v>5545.8</v>
      </c>
      <c r="J81">
        <v>0.92</v>
      </c>
      <c r="K81">
        <v>3924.72</v>
      </c>
      <c r="L81">
        <v>1621.08</v>
      </c>
    </row>
    <row r="82" spans="1:12" x14ac:dyDescent="0.25">
      <c r="A82">
        <v>81</v>
      </c>
      <c r="B82" t="s">
        <v>86</v>
      </c>
      <c r="C82" t="s">
        <v>364</v>
      </c>
      <c r="D82" t="s">
        <v>370</v>
      </c>
      <c r="E82" t="s">
        <v>394</v>
      </c>
      <c r="F82" t="s">
        <v>481</v>
      </c>
      <c r="G82">
        <v>2698</v>
      </c>
      <c r="H82">
        <v>1.03</v>
      </c>
      <c r="I82">
        <v>2778.94</v>
      </c>
      <c r="J82">
        <v>0.68</v>
      </c>
      <c r="K82">
        <v>1834.64</v>
      </c>
      <c r="L82">
        <v>944.3</v>
      </c>
    </row>
    <row r="83" spans="1:12" x14ac:dyDescent="0.25">
      <c r="A83">
        <v>82</v>
      </c>
      <c r="B83" t="s">
        <v>87</v>
      </c>
      <c r="C83" t="s">
        <v>364</v>
      </c>
      <c r="D83" t="s">
        <v>370</v>
      </c>
      <c r="E83" t="s">
        <v>391</v>
      </c>
      <c r="F83" t="s">
        <v>473</v>
      </c>
      <c r="G83">
        <v>3604</v>
      </c>
      <c r="H83">
        <v>1.04</v>
      </c>
      <c r="I83">
        <v>3748.16</v>
      </c>
      <c r="J83">
        <v>0.75</v>
      </c>
      <c r="K83">
        <v>2703</v>
      </c>
      <c r="L83">
        <v>1045.1600000000001</v>
      </c>
    </row>
    <row r="84" spans="1:12" x14ac:dyDescent="0.25">
      <c r="A84">
        <v>83</v>
      </c>
      <c r="B84" t="s">
        <v>88</v>
      </c>
      <c r="C84" t="s">
        <v>364</v>
      </c>
      <c r="D84" t="s">
        <v>368</v>
      </c>
      <c r="E84" t="s">
        <v>381</v>
      </c>
      <c r="F84" t="s">
        <v>475</v>
      </c>
      <c r="G84">
        <v>2616</v>
      </c>
      <c r="H84">
        <v>1.04</v>
      </c>
      <c r="I84">
        <v>2720.64</v>
      </c>
      <c r="J84">
        <v>0.85</v>
      </c>
      <c r="K84">
        <v>2223.6</v>
      </c>
      <c r="L84">
        <v>497.04</v>
      </c>
    </row>
    <row r="85" spans="1:12" x14ac:dyDescent="0.25">
      <c r="A85">
        <v>84</v>
      </c>
      <c r="B85" t="s">
        <v>89</v>
      </c>
      <c r="C85" t="s">
        <v>363</v>
      </c>
      <c r="D85" t="s">
        <v>370</v>
      </c>
      <c r="E85" t="s">
        <v>430</v>
      </c>
      <c r="F85" t="s">
        <v>485</v>
      </c>
      <c r="G85">
        <v>1201</v>
      </c>
      <c r="H85">
        <v>0.97</v>
      </c>
      <c r="I85">
        <v>1164.97</v>
      </c>
      <c r="J85">
        <v>0.68</v>
      </c>
      <c r="K85">
        <v>816.68</v>
      </c>
      <c r="L85">
        <v>348.29</v>
      </c>
    </row>
    <row r="86" spans="1:12" x14ac:dyDescent="0.25">
      <c r="A86">
        <v>85</v>
      </c>
      <c r="B86" t="s">
        <v>90</v>
      </c>
      <c r="C86" t="s">
        <v>364</v>
      </c>
      <c r="D86" t="s">
        <v>368</v>
      </c>
      <c r="E86" t="s">
        <v>431</v>
      </c>
      <c r="F86" t="s">
        <v>483</v>
      </c>
      <c r="G86">
        <v>4171</v>
      </c>
      <c r="H86">
        <v>1.36</v>
      </c>
      <c r="I86">
        <v>5672.56</v>
      </c>
      <c r="J86">
        <v>0.85</v>
      </c>
      <c r="K86">
        <v>3545.35</v>
      </c>
      <c r="L86">
        <v>2127.21</v>
      </c>
    </row>
    <row r="87" spans="1:12" x14ac:dyDescent="0.25">
      <c r="A87">
        <v>86</v>
      </c>
      <c r="B87" t="s">
        <v>91</v>
      </c>
      <c r="C87" t="s">
        <v>366</v>
      </c>
      <c r="D87" t="s">
        <v>369</v>
      </c>
      <c r="E87" t="s">
        <v>428</v>
      </c>
      <c r="F87" t="s">
        <v>479</v>
      </c>
      <c r="G87">
        <v>3523</v>
      </c>
      <c r="H87">
        <v>1.1299999999999999</v>
      </c>
      <c r="I87">
        <v>3980.99</v>
      </c>
      <c r="J87">
        <v>0.83</v>
      </c>
      <c r="K87">
        <v>2924.09</v>
      </c>
      <c r="L87">
        <v>1056.9000000000001</v>
      </c>
    </row>
    <row r="88" spans="1:12" x14ac:dyDescent="0.25">
      <c r="A88">
        <v>87</v>
      </c>
      <c r="B88" t="s">
        <v>92</v>
      </c>
      <c r="C88" t="s">
        <v>365</v>
      </c>
      <c r="D88" t="s">
        <v>370</v>
      </c>
      <c r="E88" t="s">
        <v>429</v>
      </c>
      <c r="F88" t="s">
        <v>473</v>
      </c>
      <c r="G88">
        <v>2719</v>
      </c>
      <c r="H88">
        <v>1.01</v>
      </c>
      <c r="I88">
        <v>2746.19</v>
      </c>
      <c r="J88">
        <v>0.66</v>
      </c>
      <c r="K88">
        <v>1794.54</v>
      </c>
      <c r="L88">
        <v>951.65</v>
      </c>
    </row>
    <row r="89" spans="1:12" x14ac:dyDescent="0.25">
      <c r="A89">
        <v>88</v>
      </c>
      <c r="B89" t="s">
        <v>93</v>
      </c>
      <c r="C89" t="s">
        <v>363</v>
      </c>
      <c r="D89" t="s">
        <v>370</v>
      </c>
      <c r="E89" t="s">
        <v>432</v>
      </c>
      <c r="F89" t="s">
        <v>476</v>
      </c>
      <c r="G89">
        <v>2016</v>
      </c>
      <c r="H89">
        <v>0.93</v>
      </c>
      <c r="I89">
        <v>1874.88</v>
      </c>
      <c r="J89">
        <v>0.73</v>
      </c>
      <c r="K89">
        <v>1471.68</v>
      </c>
      <c r="L89">
        <v>403.2</v>
      </c>
    </row>
    <row r="90" spans="1:12" x14ac:dyDescent="0.25">
      <c r="A90">
        <v>89</v>
      </c>
      <c r="B90" t="s">
        <v>94</v>
      </c>
      <c r="C90" t="s">
        <v>363</v>
      </c>
      <c r="D90" t="s">
        <v>370</v>
      </c>
      <c r="E90" t="s">
        <v>395</v>
      </c>
      <c r="F90" t="s">
        <v>482</v>
      </c>
      <c r="G90">
        <v>2363</v>
      </c>
      <c r="H90">
        <v>1.05</v>
      </c>
      <c r="I90">
        <v>2481.15</v>
      </c>
      <c r="J90">
        <v>0.71</v>
      </c>
      <c r="K90">
        <v>1677.73</v>
      </c>
      <c r="L90">
        <v>803.42</v>
      </c>
    </row>
    <row r="91" spans="1:12" x14ac:dyDescent="0.25">
      <c r="A91">
        <v>90</v>
      </c>
      <c r="B91" t="s">
        <v>95</v>
      </c>
      <c r="C91" t="s">
        <v>365</v>
      </c>
      <c r="D91" t="s">
        <v>368</v>
      </c>
      <c r="E91" t="s">
        <v>377</v>
      </c>
      <c r="F91" t="s">
        <v>478</v>
      </c>
      <c r="G91">
        <v>2893</v>
      </c>
      <c r="H91">
        <v>1.29</v>
      </c>
      <c r="I91">
        <v>3731.97</v>
      </c>
      <c r="J91">
        <v>0.81</v>
      </c>
      <c r="K91">
        <v>2343.33</v>
      </c>
      <c r="L91">
        <v>1388.64</v>
      </c>
    </row>
    <row r="92" spans="1:12" x14ac:dyDescent="0.25">
      <c r="A92">
        <v>91</v>
      </c>
      <c r="B92" t="s">
        <v>96</v>
      </c>
      <c r="C92" t="s">
        <v>363</v>
      </c>
      <c r="D92" t="s">
        <v>367</v>
      </c>
      <c r="E92" t="s">
        <v>415</v>
      </c>
      <c r="F92" t="s">
        <v>482</v>
      </c>
      <c r="G92">
        <v>4345</v>
      </c>
      <c r="H92">
        <v>1.1399999999999999</v>
      </c>
      <c r="I92">
        <v>4953.3</v>
      </c>
      <c r="J92">
        <v>0.78</v>
      </c>
      <c r="K92">
        <v>3389.1</v>
      </c>
      <c r="L92">
        <v>1564.2</v>
      </c>
    </row>
    <row r="93" spans="1:12" x14ac:dyDescent="0.25">
      <c r="A93">
        <v>92</v>
      </c>
      <c r="B93" t="s">
        <v>97</v>
      </c>
      <c r="C93" t="s">
        <v>364</v>
      </c>
      <c r="D93" t="s">
        <v>370</v>
      </c>
      <c r="E93" t="s">
        <v>409</v>
      </c>
      <c r="F93" t="s">
        <v>486</v>
      </c>
      <c r="G93">
        <v>3782</v>
      </c>
      <c r="H93">
        <v>1.1399999999999999</v>
      </c>
      <c r="I93">
        <v>4311.4799999999996</v>
      </c>
      <c r="J93">
        <v>0.85</v>
      </c>
      <c r="K93">
        <v>3214.7</v>
      </c>
      <c r="L93">
        <v>1096.78</v>
      </c>
    </row>
    <row r="94" spans="1:12" x14ac:dyDescent="0.25">
      <c r="A94">
        <v>93</v>
      </c>
      <c r="B94" t="s">
        <v>98</v>
      </c>
      <c r="C94" t="s">
        <v>366</v>
      </c>
      <c r="D94" t="s">
        <v>367</v>
      </c>
      <c r="E94" t="s">
        <v>399</v>
      </c>
      <c r="F94" t="s">
        <v>479</v>
      </c>
      <c r="G94">
        <v>2989</v>
      </c>
      <c r="H94">
        <v>0.86</v>
      </c>
      <c r="I94">
        <v>2570.54</v>
      </c>
      <c r="J94">
        <v>0.56999999999999995</v>
      </c>
      <c r="K94">
        <v>1703.73</v>
      </c>
      <c r="L94">
        <v>866.81</v>
      </c>
    </row>
    <row r="95" spans="1:12" x14ac:dyDescent="0.25">
      <c r="A95">
        <v>94</v>
      </c>
      <c r="B95" t="s">
        <v>99</v>
      </c>
      <c r="C95" t="s">
        <v>366</v>
      </c>
      <c r="D95" t="s">
        <v>369</v>
      </c>
      <c r="E95" t="s">
        <v>427</v>
      </c>
      <c r="F95" t="s">
        <v>490</v>
      </c>
      <c r="G95">
        <v>3616</v>
      </c>
      <c r="H95">
        <v>1.1200000000000001</v>
      </c>
      <c r="I95">
        <v>4049.92</v>
      </c>
      <c r="J95">
        <v>0.8</v>
      </c>
      <c r="K95">
        <v>2892.8</v>
      </c>
      <c r="L95">
        <v>1157.1199999999999</v>
      </c>
    </row>
    <row r="96" spans="1:12" x14ac:dyDescent="0.25">
      <c r="A96">
        <v>95</v>
      </c>
      <c r="B96" t="s">
        <v>100</v>
      </c>
      <c r="C96" t="s">
        <v>365</v>
      </c>
      <c r="D96" t="s">
        <v>369</v>
      </c>
      <c r="E96" t="s">
        <v>433</v>
      </c>
      <c r="F96" t="s">
        <v>489</v>
      </c>
      <c r="G96">
        <v>993</v>
      </c>
      <c r="H96">
        <v>1.23</v>
      </c>
      <c r="I96">
        <v>1221.3900000000001</v>
      </c>
      <c r="J96">
        <v>0.97</v>
      </c>
      <c r="K96">
        <v>963.21</v>
      </c>
      <c r="L96">
        <v>258.18</v>
      </c>
    </row>
    <row r="97" spans="1:12" x14ac:dyDescent="0.25">
      <c r="A97">
        <v>96</v>
      </c>
      <c r="B97" t="s">
        <v>101</v>
      </c>
      <c r="C97" t="s">
        <v>365</v>
      </c>
      <c r="D97" t="s">
        <v>368</v>
      </c>
      <c r="E97" t="s">
        <v>389</v>
      </c>
      <c r="F97" t="s">
        <v>486</v>
      </c>
      <c r="G97">
        <v>1786</v>
      </c>
      <c r="H97">
        <v>0.97</v>
      </c>
      <c r="I97">
        <v>1732.42</v>
      </c>
      <c r="J97">
        <v>0.72</v>
      </c>
      <c r="K97">
        <v>1285.92</v>
      </c>
      <c r="L97">
        <v>446.5</v>
      </c>
    </row>
    <row r="98" spans="1:12" x14ac:dyDescent="0.25">
      <c r="A98">
        <v>97</v>
      </c>
      <c r="B98" t="s">
        <v>42</v>
      </c>
      <c r="C98" t="s">
        <v>364</v>
      </c>
      <c r="D98" t="s">
        <v>367</v>
      </c>
      <c r="E98" t="s">
        <v>434</v>
      </c>
      <c r="F98" t="s">
        <v>489</v>
      </c>
      <c r="G98">
        <v>4349</v>
      </c>
      <c r="H98">
        <v>1</v>
      </c>
      <c r="I98">
        <v>4349</v>
      </c>
      <c r="J98">
        <v>0.66</v>
      </c>
      <c r="K98">
        <v>2870.34</v>
      </c>
      <c r="L98">
        <v>1478.66</v>
      </c>
    </row>
    <row r="99" spans="1:12" x14ac:dyDescent="0.25">
      <c r="A99">
        <v>98</v>
      </c>
      <c r="B99" t="s">
        <v>51</v>
      </c>
      <c r="C99" t="s">
        <v>364</v>
      </c>
      <c r="D99" t="s">
        <v>370</v>
      </c>
      <c r="E99" t="s">
        <v>392</v>
      </c>
      <c r="F99" t="s">
        <v>477</v>
      </c>
      <c r="G99">
        <v>2667</v>
      </c>
      <c r="H99">
        <v>1.35</v>
      </c>
      <c r="I99">
        <v>3600.45</v>
      </c>
      <c r="J99">
        <v>1.02</v>
      </c>
      <c r="K99">
        <v>2720.34</v>
      </c>
      <c r="L99">
        <v>880.11</v>
      </c>
    </row>
    <row r="100" spans="1:12" x14ac:dyDescent="0.25">
      <c r="A100">
        <v>99</v>
      </c>
      <c r="B100" t="s">
        <v>102</v>
      </c>
      <c r="C100" t="s">
        <v>364</v>
      </c>
      <c r="D100" t="s">
        <v>368</v>
      </c>
      <c r="E100" t="s">
        <v>409</v>
      </c>
      <c r="F100" t="s">
        <v>476</v>
      </c>
      <c r="G100">
        <v>2341</v>
      </c>
      <c r="H100">
        <v>1.25</v>
      </c>
      <c r="I100">
        <v>2926.25</v>
      </c>
      <c r="J100">
        <v>1.03</v>
      </c>
      <c r="K100">
        <v>2411.23</v>
      </c>
      <c r="L100">
        <v>515.02</v>
      </c>
    </row>
    <row r="101" spans="1:12" x14ac:dyDescent="0.25">
      <c r="A101">
        <v>100</v>
      </c>
      <c r="B101" t="s">
        <v>103</v>
      </c>
      <c r="C101" t="s">
        <v>363</v>
      </c>
      <c r="D101" t="s">
        <v>367</v>
      </c>
      <c r="E101" t="s">
        <v>397</v>
      </c>
      <c r="F101" t="s">
        <v>482</v>
      </c>
      <c r="G101">
        <v>2864</v>
      </c>
      <c r="H101">
        <v>1.1100000000000001</v>
      </c>
      <c r="I101">
        <v>3179.04</v>
      </c>
      <c r="J101">
        <v>0.8</v>
      </c>
      <c r="K101">
        <v>2291.1999999999998</v>
      </c>
      <c r="L101">
        <v>887.84</v>
      </c>
    </row>
    <row r="102" spans="1:12" x14ac:dyDescent="0.25">
      <c r="A102">
        <v>101</v>
      </c>
      <c r="B102" t="s">
        <v>104</v>
      </c>
      <c r="C102" t="s">
        <v>365</v>
      </c>
      <c r="D102" t="s">
        <v>369</v>
      </c>
      <c r="E102" t="s">
        <v>405</v>
      </c>
      <c r="F102" t="s">
        <v>476</v>
      </c>
      <c r="G102">
        <v>4545</v>
      </c>
      <c r="H102">
        <v>1.1100000000000001</v>
      </c>
      <c r="I102">
        <v>5044.95</v>
      </c>
      <c r="J102">
        <v>0.83</v>
      </c>
      <c r="K102">
        <v>3772.35</v>
      </c>
      <c r="L102">
        <v>1272.5999999999999</v>
      </c>
    </row>
    <row r="103" spans="1:12" x14ac:dyDescent="0.25">
      <c r="A103">
        <v>102</v>
      </c>
      <c r="B103" t="s">
        <v>105</v>
      </c>
      <c r="C103" t="s">
        <v>365</v>
      </c>
      <c r="D103" t="s">
        <v>370</v>
      </c>
      <c r="E103" t="s">
        <v>435</v>
      </c>
      <c r="F103" t="s">
        <v>486</v>
      </c>
      <c r="G103">
        <v>2375</v>
      </c>
      <c r="H103">
        <v>1.47</v>
      </c>
      <c r="I103">
        <v>3491.25</v>
      </c>
      <c r="J103">
        <v>1.19</v>
      </c>
      <c r="K103">
        <v>2826.25</v>
      </c>
      <c r="L103">
        <v>665</v>
      </c>
    </row>
    <row r="104" spans="1:12" x14ac:dyDescent="0.25">
      <c r="A104">
        <v>103</v>
      </c>
      <c r="B104" t="s">
        <v>106</v>
      </c>
      <c r="C104" t="s">
        <v>365</v>
      </c>
      <c r="D104" t="s">
        <v>367</v>
      </c>
      <c r="E104" t="s">
        <v>415</v>
      </c>
      <c r="F104" t="s">
        <v>478</v>
      </c>
      <c r="G104">
        <v>1935</v>
      </c>
      <c r="H104">
        <v>1.1299999999999999</v>
      </c>
      <c r="I104">
        <v>2186.5500000000002</v>
      </c>
      <c r="J104">
        <v>0.86</v>
      </c>
      <c r="K104">
        <v>1664.1</v>
      </c>
      <c r="L104">
        <v>522.45000000000005</v>
      </c>
    </row>
    <row r="105" spans="1:12" x14ac:dyDescent="0.25">
      <c r="A105">
        <v>104</v>
      </c>
      <c r="B105" t="s">
        <v>58</v>
      </c>
      <c r="C105" t="s">
        <v>364</v>
      </c>
      <c r="D105" t="s">
        <v>368</v>
      </c>
      <c r="E105" t="s">
        <v>436</v>
      </c>
      <c r="F105" t="s">
        <v>483</v>
      </c>
      <c r="G105">
        <v>1247</v>
      </c>
      <c r="H105">
        <v>1.1299999999999999</v>
      </c>
      <c r="I105">
        <v>1409.11</v>
      </c>
      <c r="J105">
        <v>0.79</v>
      </c>
      <c r="K105">
        <v>985.13</v>
      </c>
      <c r="L105">
        <v>423.98</v>
      </c>
    </row>
    <row r="106" spans="1:12" x14ac:dyDescent="0.25">
      <c r="A106">
        <v>105</v>
      </c>
      <c r="B106" t="s">
        <v>65</v>
      </c>
      <c r="C106" t="s">
        <v>366</v>
      </c>
      <c r="D106" t="s">
        <v>367</v>
      </c>
      <c r="E106" t="s">
        <v>423</v>
      </c>
      <c r="F106" t="s">
        <v>481</v>
      </c>
      <c r="G106">
        <v>4558</v>
      </c>
      <c r="H106">
        <v>1</v>
      </c>
      <c r="I106">
        <v>4558</v>
      </c>
      <c r="J106">
        <v>0.84</v>
      </c>
      <c r="K106">
        <v>3828.72</v>
      </c>
      <c r="L106">
        <v>729.28</v>
      </c>
    </row>
    <row r="107" spans="1:12" x14ac:dyDescent="0.25">
      <c r="A107">
        <v>106</v>
      </c>
      <c r="B107" t="s">
        <v>107</v>
      </c>
      <c r="C107" t="s">
        <v>364</v>
      </c>
      <c r="D107" t="s">
        <v>367</v>
      </c>
      <c r="E107" t="s">
        <v>437</v>
      </c>
      <c r="F107" t="s">
        <v>487</v>
      </c>
      <c r="G107">
        <v>2567</v>
      </c>
      <c r="H107">
        <v>1.03</v>
      </c>
      <c r="I107">
        <v>2644.01</v>
      </c>
      <c r="J107">
        <v>0.87</v>
      </c>
      <c r="K107">
        <v>2233.29</v>
      </c>
      <c r="L107">
        <v>410.72</v>
      </c>
    </row>
    <row r="108" spans="1:12" x14ac:dyDescent="0.25">
      <c r="A108">
        <v>107</v>
      </c>
      <c r="B108" t="s">
        <v>108</v>
      </c>
      <c r="C108" t="s">
        <v>364</v>
      </c>
      <c r="D108" t="s">
        <v>367</v>
      </c>
      <c r="E108" t="s">
        <v>438</v>
      </c>
      <c r="F108" t="s">
        <v>478</v>
      </c>
      <c r="G108">
        <v>2036</v>
      </c>
      <c r="H108">
        <v>1.1599999999999999</v>
      </c>
      <c r="I108">
        <v>2361.7600000000002</v>
      </c>
      <c r="J108">
        <v>0.88</v>
      </c>
      <c r="K108">
        <v>1791.68</v>
      </c>
      <c r="L108">
        <v>570.08000000000004</v>
      </c>
    </row>
    <row r="109" spans="1:12" x14ac:dyDescent="0.25">
      <c r="A109">
        <v>108</v>
      </c>
      <c r="B109" t="s">
        <v>109</v>
      </c>
      <c r="C109" t="s">
        <v>363</v>
      </c>
      <c r="D109" t="s">
        <v>369</v>
      </c>
      <c r="E109" t="s">
        <v>439</v>
      </c>
      <c r="F109" t="s">
        <v>471</v>
      </c>
      <c r="G109">
        <v>4999</v>
      </c>
      <c r="H109">
        <v>0.89</v>
      </c>
      <c r="I109">
        <v>4449.1099999999997</v>
      </c>
      <c r="J109">
        <v>0.6</v>
      </c>
      <c r="K109">
        <v>2999.4</v>
      </c>
      <c r="L109">
        <v>1449.71</v>
      </c>
    </row>
    <row r="110" spans="1:12" x14ac:dyDescent="0.25">
      <c r="A110">
        <v>109</v>
      </c>
      <c r="B110" t="s">
        <v>110</v>
      </c>
      <c r="C110" t="s">
        <v>363</v>
      </c>
      <c r="D110" t="s">
        <v>369</v>
      </c>
      <c r="E110" t="s">
        <v>435</v>
      </c>
      <c r="F110" t="s">
        <v>489</v>
      </c>
      <c r="G110">
        <v>2460</v>
      </c>
      <c r="H110">
        <v>1.3</v>
      </c>
      <c r="I110">
        <v>3198</v>
      </c>
      <c r="J110">
        <v>0.88</v>
      </c>
      <c r="K110">
        <v>2164.8000000000002</v>
      </c>
      <c r="L110">
        <v>1033.2</v>
      </c>
    </row>
    <row r="111" spans="1:12" x14ac:dyDescent="0.25">
      <c r="A111">
        <v>110</v>
      </c>
      <c r="B111" t="s">
        <v>38</v>
      </c>
      <c r="C111" t="s">
        <v>363</v>
      </c>
      <c r="D111" t="s">
        <v>369</v>
      </c>
      <c r="E111" t="s">
        <v>373</v>
      </c>
      <c r="F111" t="s">
        <v>488</v>
      </c>
      <c r="G111">
        <v>4280</v>
      </c>
      <c r="H111">
        <v>1.46</v>
      </c>
      <c r="I111">
        <v>6248.8</v>
      </c>
      <c r="J111">
        <v>1.1100000000000001</v>
      </c>
      <c r="K111">
        <v>4750.8</v>
      </c>
      <c r="L111">
        <v>1498</v>
      </c>
    </row>
    <row r="112" spans="1:12" x14ac:dyDescent="0.25">
      <c r="A112">
        <v>111</v>
      </c>
      <c r="B112" t="s">
        <v>111</v>
      </c>
      <c r="C112" t="s">
        <v>365</v>
      </c>
      <c r="D112" t="s">
        <v>369</v>
      </c>
      <c r="E112" t="s">
        <v>417</v>
      </c>
      <c r="F112" t="s">
        <v>471</v>
      </c>
      <c r="G112">
        <v>3903</v>
      </c>
      <c r="H112">
        <v>1.38</v>
      </c>
      <c r="I112">
        <v>5386.14</v>
      </c>
      <c r="J112">
        <v>1.17</v>
      </c>
      <c r="K112">
        <v>4566.51</v>
      </c>
      <c r="L112">
        <v>819.63</v>
      </c>
    </row>
    <row r="113" spans="1:12" x14ac:dyDescent="0.25">
      <c r="A113">
        <v>112</v>
      </c>
      <c r="B113" t="s">
        <v>112</v>
      </c>
      <c r="C113" t="s">
        <v>366</v>
      </c>
      <c r="D113" t="s">
        <v>369</v>
      </c>
      <c r="E113" t="s">
        <v>440</v>
      </c>
      <c r="F113" t="s">
        <v>485</v>
      </c>
      <c r="G113">
        <v>4663</v>
      </c>
      <c r="H113">
        <v>1.32</v>
      </c>
      <c r="I113">
        <v>6155.16</v>
      </c>
      <c r="J113">
        <v>0.84</v>
      </c>
      <c r="K113">
        <v>3916.92</v>
      </c>
      <c r="L113">
        <v>2238.2399999999998</v>
      </c>
    </row>
    <row r="114" spans="1:12" x14ac:dyDescent="0.25">
      <c r="A114">
        <v>113</v>
      </c>
      <c r="B114" t="s">
        <v>29</v>
      </c>
      <c r="C114" t="s">
        <v>364</v>
      </c>
      <c r="D114" t="s">
        <v>370</v>
      </c>
      <c r="E114" t="s">
        <v>425</v>
      </c>
      <c r="F114" t="s">
        <v>490</v>
      </c>
      <c r="G114">
        <v>2688</v>
      </c>
      <c r="H114">
        <v>1.37</v>
      </c>
      <c r="I114">
        <v>3682.56</v>
      </c>
      <c r="J114">
        <v>0.92</v>
      </c>
      <c r="K114">
        <v>2472.96</v>
      </c>
      <c r="L114">
        <v>1209.5999999999999</v>
      </c>
    </row>
    <row r="115" spans="1:12" x14ac:dyDescent="0.25">
      <c r="A115">
        <v>114</v>
      </c>
      <c r="B115" t="s">
        <v>76</v>
      </c>
      <c r="C115" t="s">
        <v>366</v>
      </c>
      <c r="D115" t="s">
        <v>369</v>
      </c>
      <c r="E115" t="s">
        <v>434</v>
      </c>
      <c r="F115" t="s">
        <v>476</v>
      </c>
      <c r="G115">
        <v>4467</v>
      </c>
      <c r="H115">
        <v>1.04</v>
      </c>
      <c r="I115">
        <v>4645.68</v>
      </c>
      <c r="J115">
        <v>0.77</v>
      </c>
      <c r="K115">
        <v>3439.59</v>
      </c>
      <c r="L115">
        <v>1206.0899999999999</v>
      </c>
    </row>
    <row r="116" spans="1:12" x14ac:dyDescent="0.25">
      <c r="A116">
        <v>115</v>
      </c>
      <c r="B116" t="s">
        <v>113</v>
      </c>
      <c r="C116" t="s">
        <v>364</v>
      </c>
      <c r="D116" t="s">
        <v>369</v>
      </c>
      <c r="E116" t="s">
        <v>441</v>
      </c>
      <c r="F116" t="s">
        <v>485</v>
      </c>
      <c r="G116">
        <v>2456</v>
      </c>
      <c r="H116">
        <v>1.2</v>
      </c>
      <c r="I116">
        <v>2947.2</v>
      </c>
      <c r="J116">
        <v>0.79</v>
      </c>
      <c r="K116">
        <v>1940.24</v>
      </c>
      <c r="L116">
        <v>1006.96</v>
      </c>
    </row>
    <row r="117" spans="1:12" x14ac:dyDescent="0.25">
      <c r="A117">
        <v>116</v>
      </c>
      <c r="B117" t="s">
        <v>114</v>
      </c>
      <c r="C117" t="s">
        <v>365</v>
      </c>
      <c r="D117" t="s">
        <v>367</v>
      </c>
      <c r="E117" t="s">
        <v>432</v>
      </c>
      <c r="F117" t="s">
        <v>483</v>
      </c>
      <c r="G117">
        <v>3623</v>
      </c>
      <c r="H117">
        <v>1.07</v>
      </c>
      <c r="I117">
        <v>3876.61</v>
      </c>
      <c r="J117">
        <v>0.82</v>
      </c>
      <c r="K117">
        <v>2970.86</v>
      </c>
      <c r="L117">
        <v>905.75</v>
      </c>
    </row>
    <row r="118" spans="1:12" x14ac:dyDescent="0.25">
      <c r="A118">
        <v>117</v>
      </c>
      <c r="B118" t="s">
        <v>115</v>
      </c>
      <c r="C118" t="s">
        <v>364</v>
      </c>
      <c r="D118" t="s">
        <v>368</v>
      </c>
      <c r="E118" t="s">
        <v>372</v>
      </c>
      <c r="F118" t="s">
        <v>474</v>
      </c>
      <c r="G118">
        <v>4614</v>
      </c>
      <c r="H118">
        <v>1.48</v>
      </c>
      <c r="I118">
        <v>6828.72</v>
      </c>
      <c r="J118">
        <v>1.01</v>
      </c>
      <c r="K118">
        <v>4660.1400000000003</v>
      </c>
      <c r="L118">
        <v>2168.58</v>
      </c>
    </row>
    <row r="119" spans="1:12" x14ac:dyDescent="0.25">
      <c r="A119">
        <v>118</v>
      </c>
      <c r="B119" t="s">
        <v>19</v>
      </c>
      <c r="C119" t="s">
        <v>363</v>
      </c>
      <c r="D119" t="s">
        <v>369</v>
      </c>
      <c r="E119" t="s">
        <v>442</v>
      </c>
      <c r="F119" t="s">
        <v>473</v>
      </c>
      <c r="G119">
        <v>625</v>
      </c>
      <c r="H119">
        <v>1.31</v>
      </c>
      <c r="I119">
        <v>818.75</v>
      </c>
      <c r="J119">
        <v>0.92</v>
      </c>
      <c r="K119">
        <v>575</v>
      </c>
      <c r="L119">
        <v>243.75</v>
      </c>
    </row>
    <row r="120" spans="1:12" x14ac:dyDescent="0.25">
      <c r="A120">
        <v>119</v>
      </c>
      <c r="B120" t="s">
        <v>116</v>
      </c>
      <c r="C120" t="s">
        <v>363</v>
      </c>
      <c r="D120" t="s">
        <v>368</v>
      </c>
      <c r="E120" t="s">
        <v>393</v>
      </c>
      <c r="F120" t="s">
        <v>471</v>
      </c>
      <c r="G120">
        <v>3273</v>
      </c>
      <c r="H120">
        <v>1.24</v>
      </c>
      <c r="I120">
        <v>4058.52</v>
      </c>
      <c r="J120">
        <v>0.87</v>
      </c>
      <c r="K120">
        <v>2847.51</v>
      </c>
      <c r="L120">
        <v>1211.01</v>
      </c>
    </row>
    <row r="121" spans="1:12" x14ac:dyDescent="0.25">
      <c r="A121">
        <v>120</v>
      </c>
      <c r="B121" t="s">
        <v>117</v>
      </c>
      <c r="C121" t="s">
        <v>364</v>
      </c>
      <c r="D121" t="s">
        <v>370</v>
      </c>
      <c r="E121" t="s">
        <v>404</v>
      </c>
      <c r="F121" t="s">
        <v>483</v>
      </c>
      <c r="G121">
        <v>4932</v>
      </c>
      <c r="H121">
        <v>0.83</v>
      </c>
      <c r="I121">
        <v>4093.56</v>
      </c>
      <c r="J121">
        <v>0.51</v>
      </c>
      <c r="K121">
        <v>2515.3200000000002</v>
      </c>
      <c r="L121">
        <v>1578.24</v>
      </c>
    </row>
    <row r="122" spans="1:12" x14ac:dyDescent="0.25">
      <c r="A122">
        <v>121</v>
      </c>
      <c r="B122" t="s">
        <v>118</v>
      </c>
      <c r="C122" t="s">
        <v>366</v>
      </c>
      <c r="D122" t="s">
        <v>370</v>
      </c>
      <c r="E122" t="s">
        <v>432</v>
      </c>
      <c r="F122" t="s">
        <v>486</v>
      </c>
      <c r="G122">
        <v>4055</v>
      </c>
      <c r="H122">
        <v>1.48</v>
      </c>
      <c r="I122">
        <v>6001.4</v>
      </c>
      <c r="J122">
        <v>1.17</v>
      </c>
      <c r="K122">
        <v>4744.3500000000004</v>
      </c>
      <c r="L122">
        <v>1257.05</v>
      </c>
    </row>
    <row r="123" spans="1:12" x14ac:dyDescent="0.25">
      <c r="A123">
        <v>122</v>
      </c>
      <c r="B123" t="s">
        <v>119</v>
      </c>
      <c r="C123" t="s">
        <v>364</v>
      </c>
      <c r="D123" t="s">
        <v>367</v>
      </c>
      <c r="E123" t="s">
        <v>397</v>
      </c>
      <c r="F123" t="s">
        <v>482</v>
      </c>
      <c r="G123">
        <v>737</v>
      </c>
      <c r="H123">
        <v>0.83</v>
      </c>
      <c r="I123">
        <v>611.71</v>
      </c>
      <c r="J123">
        <v>0.66</v>
      </c>
      <c r="K123">
        <v>486.42</v>
      </c>
      <c r="L123">
        <v>125.29</v>
      </c>
    </row>
    <row r="124" spans="1:12" x14ac:dyDescent="0.25">
      <c r="A124">
        <v>123</v>
      </c>
      <c r="B124" t="s">
        <v>120</v>
      </c>
      <c r="C124" t="s">
        <v>365</v>
      </c>
      <c r="D124" t="s">
        <v>370</v>
      </c>
      <c r="E124" t="s">
        <v>416</v>
      </c>
      <c r="F124" t="s">
        <v>474</v>
      </c>
      <c r="G124">
        <v>2500</v>
      </c>
      <c r="H124">
        <v>1.17</v>
      </c>
      <c r="I124">
        <v>2925</v>
      </c>
      <c r="J124">
        <v>0.87</v>
      </c>
      <c r="K124">
        <v>2175</v>
      </c>
      <c r="L124">
        <v>750</v>
      </c>
    </row>
    <row r="125" spans="1:12" x14ac:dyDescent="0.25">
      <c r="A125">
        <v>124</v>
      </c>
      <c r="B125" t="s">
        <v>121</v>
      </c>
      <c r="C125" t="s">
        <v>366</v>
      </c>
      <c r="D125" t="s">
        <v>368</v>
      </c>
      <c r="E125" t="s">
        <v>376</v>
      </c>
      <c r="F125" t="s">
        <v>489</v>
      </c>
      <c r="G125">
        <v>3633</v>
      </c>
      <c r="H125">
        <v>1.23</v>
      </c>
      <c r="I125">
        <v>4468.59</v>
      </c>
      <c r="J125">
        <v>0.81</v>
      </c>
      <c r="K125">
        <v>2942.73</v>
      </c>
      <c r="L125">
        <v>1525.86</v>
      </c>
    </row>
    <row r="126" spans="1:12" x14ac:dyDescent="0.25">
      <c r="A126">
        <v>125</v>
      </c>
      <c r="B126" t="s">
        <v>52</v>
      </c>
      <c r="C126" t="s">
        <v>366</v>
      </c>
      <c r="D126" t="s">
        <v>368</v>
      </c>
      <c r="E126" t="s">
        <v>394</v>
      </c>
      <c r="F126" t="s">
        <v>471</v>
      </c>
      <c r="G126">
        <v>4264</v>
      </c>
      <c r="H126">
        <v>0.98</v>
      </c>
      <c r="I126">
        <v>4178.72</v>
      </c>
      <c r="J126">
        <v>0.59</v>
      </c>
      <c r="K126">
        <v>2515.7600000000002</v>
      </c>
      <c r="L126">
        <v>1662.96</v>
      </c>
    </row>
    <row r="127" spans="1:12" x14ac:dyDescent="0.25">
      <c r="A127">
        <v>126</v>
      </c>
      <c r="B127" t="s">
        <v>122</v>
      </c>
      <c r="C127" t="s">
        <v>366</v>
      </c>
      <c r="D127" t="s">
        <v>370</v>
      </c>
      <c r="E127" t="s">
        <v>392</v>
      </c>
      <c r="F127" t="s">
        <v>473</v>
      </c>
      <c r="G127">
        <v>3330</v>
      </c>
      <c r="H127">
        <v>1.49</v>
      </c>
      <c r="I127">
        <v>4961.7</v>
      </c>
      <c r="J127">
        <v>1.01</v>
      </c>
      <c r="K127">
        <v>3363.3</v>
      </c>
      <c r="L127">
        <v>1598.4</v>
      </c>
    </row>
    <row r="128" spans="1:12" x14ac:dyDescent="0.25">
      <c r="A128">
        <v>127</v>
      </c>
      <c r="B128" t="s">
        <v>92</v>
      </c>
      <c r="C128" t="s">
        <v>364</v>
      </c>
      <c r="D128" t="s">
        <v>370</v>
      </c>
      <c r="E128" t="s">
        <v>443</v>
      </c>
      <c r="F128" t="s">
        <v>485</v>
      </c>
      <c r="G128">
        <v>3651</v>
      </c>
      <c r="H128">
        <v>1.4</v>
      </c>
      <c r="I128">
        <v>5111.3999999999996</v>
      </c>
      <c r="J128">
        <v>0.88</v>
      </c>
      <c r="K128">
        <v>3212.88</v>
      </c>
      <c r="L128">
        <v>1898.52</v>
      </c>
    </row>
    <row r="129" spans="1:12" x14ac:dyDescent="0.25">
      <c r="A129">
        <v>128</v>
      </c>
      <c r="B129" t="s">
        <v>123</v>
      </c>
      <c r="C129" t="s">
        <v>365</v>
      </c>
      <c r="D129" t="s">
        <v>370</v>
      </c>
      <c r="E129" t="s">
        <v>429</v>
      </c>
      <c r="F129" t="s">
        <v>482</v>
      </c>
      <c r="G129">
        <v>679</v>
      </c>
      <c r="H129">
        <v>1.48</v>
      </c>
      <c r="I129">
        <v>1004.92</v>
      </c>
      <c r="J129">
        <v>1.1299999999999999</v>
      </c>
      <c r="K129">
        <v>767.27</v>
      </c>
      <c r="L129">
        <v>237.65</v>
      </c>
    </row>
    <row r="130" spans="1:12" x14ac:dyDescent="0.25">
      <c r="A130">
        <v>129</v>
      </c>
      <c r="B130" t="s">
        <v>124</v>
      </c>
      <c r="C130" t="s">
        <v>363</v>
      </c>
      <c r="D130" t="s">
        <v>367</v>
      </c>
      <c r="E130" t="s">
        <v>444</v>
      </c>
      <c r="F130" t="s">
        <v>483</v>
      </c>
      <c r="G130">
        <v>2844</v>
      </c>
      <c r="H130">
        <v>1.34</v>
      </c>
      <c r="I130">
        <v>3810.96</v>
      </c>
      <c r="J130">
        <v>0.88</v>
      </c>
      <c r="K130">
        <v>2502.7199999999998</v>
      </c>
      <c r="L130">
        <v>1308.24</v>
      </c>
    </row>
    <row r="131" spans="1:12" x14ac:dyDescent="0.25">
      <c r="A131">
        <v>130</v>
      </c>
      <c r="B131" t="s">
        <v>125</v>
      </c>
      <c r="C131" t="s">
        <v>366</v>
      </c>
      <c r="D131" t="s">
        <v>368</v>
      </c>
      <c r="E131" t="s">
        <v>402</v>
      </c>
      <c r="F131" t="s">
        <v>471</v>
      </c>
      <c r="G131">
        <v>1620</v>
      </c>
      <c r="H131">
        <v>1.24</v>
      </c>
      <c r="I131">
        <v>2008.8</v>
      </c>
      <c r="J131">
        <v>1.02</v>
      </c>
      <c r="K131">
        <v>1652.4</v>
      </c>
      <c r="L131">
        <v>356.4</v>
      </c>
    </row>
    <row r="132" spans="1:12" x14ac:dyDescent="0.25">
      <c r="A132">
        <v>131</v>
      </c>
      <c r="B132" t="s">
        <v>45</v>
      </c>
      <c r="C132" t="s">
        <v>365</v>
      </c>
      <c r="D132" t="s">
        <v>367</v>
      </c>
      <c r="E132" t="s">
        <v>396</v>
      </c>
      <c r="F132" t="s">
        <v>478</v>
      </c>
      <c r="G132">
        <v>3488</v>
      </c>
      <c r="H132">
        <v>1.31</v>
      </c>
      <c r="I132">
        <v>4569.28</v>
      </c>
      <c r="J132">
        <v>0.82</v>
      </c>
      <c r="K132">
        <v>2860.16</v>
      </c>
      <c r="L132">
        <v>1709.12</v>
      </c>
    </row>
    <row r="133" spans="1:12" x14ac:dyDescent="0.25">
      <c r="A133">
        <v>132</v>
      </c>
      <c r="B133" t="s">
        <v>126</v>
      </c>
      <c r="C133" t="s">
        <v>364</v>
      </c>
      <c r="D133" t="s">
        <v>370</v>
      </c>
      <c r="E133" t="s">
        <v>445</v>
      </c>
      <c r="F133" t="s">
        <v>485</v>
      </c>
      <c r="G133">
        <v>1582</v>
      </c>
      <c r="H133">
        <v>1.35</v>
      </c>
      <c r="I133">
        <v>2135.6999999999998</v>
      </c>
      <c r="J133">
        <v>1.1100000000000001</v>
      </c>
      <c r="K133">
        <v>1756.02</v>
      </c>
      <c r="L133">
        <v>379.68</v>
      </c>
    </row>
    <row r="134" spans="1:12" x14ac:dyDescent="0.25">
      <c r="A134">
        <v>133</v>
      </c>
      <c r="B134" t="s">
        <v>127</v>
      </c>
      <c r="C134" t="s">
        <v>366</v>
      </c>
      <c r="D134" t="s">
        <v>370</v>
      </c>
      <c r="E134" t="s">
        <v>408</v>
      </c>
      <c r="F134" t="s">
        <v>483</v>
      </c>
      <c r="G134">
        <v>2917</v>
      </c>
      <c r="H134">
        <v>1.32</v>
      </c>
      <c r="I134">
        <v>3850.44</v>
      </c>
      <c r="J134">
        <v>0.9</v>
      </c>
      <c r="K134">
        <v>2625.3</v>
      </c>
      <c r="L134">
        <v>1225.1400000000001</v>
      </c>
    </row>
    <row r="135" spans="1:12" x14ac:dyDescent="0.25">
      <c r="A135">
        <v>134</v>
      </c>
      <c r="B135" t="s">
        <v>128</v>
      </c>
      <c r="C135" t="s">
        <v>363</v>
      </c>
      <c r="D135" t="s">
        <v>369</v>
      </c>
      <c r="E135" t="s">
        <v>446</v>
      </c>
      <c r="F135" t="s">
        <v>477</v>
      </c>
      <c r="G135">
        <v>3755</v>
      </c>
      <c r="H135">
        <v>1.48</v>
      </c>
      <c r="I135">
        <v>5557.4</v>
      </c>
      <c r="J135">
        <v>1.19</v>
      </c>
      <c r="K135">
        <v>4468.45</v>
      </c>
      <c r="L135">
        <v>1088.95</v>
      </c>
    </row>
    <row r="136" spans="1:12" x14ac:dyDescent="0.25">
      <c r="A136">
        <v>135</v>
      </c>
      <c r="B136" t="s">
        <v>127</v>
      </c>
      <c r="C136" t="s">
        <v>364</v>
      </c>
      <c r="D136" t="s">
        <v>367</v>
      </c>
      <c r="E136" t="s">
        <v>447</v>
      </c>
      <c r="F136" t="s">
        <v>471</v>
      </c>
      <c r="G136">
        <v>4895</v>
      </c>
      <c r="H136">
        <v>0.89</v>
      </c>
      <c r="I136">
        <v>4356.55</v>
      </c>
      <c r="J136">
        <v>0.62</v>
      </c>
      <c r="K136">
        <v>3034.9</v>
      </c>
      <c r="L136">
        <v>1321.65</v>
      </c>
    </row>
    <row r="137" spans="1:12" x14ac:dyDescent="0.25">
      <c r="A137">
        <v>136</v>
      </c>
      <c r="B137" t="s">
        <v>129</v>
      </c>
      <c r="C137" t="s">
        <v>364</v>
      </c>
      <c r="D137" t="s">
        <v>370</v>
      </c>
      <c r="E137" t="s">
        <v>436</v>
      </c>
      <c r="F137" t="s">
        <v>475</v>
      </c>
      <c r="G137">
        <v>1387</v>
      </c>
      <c r="H137">
        <v>1.27</v>
      </c>
      <c r="I137">
        <v>1761.49</v>
      </c>
      <c r="J137">
        <v>0.91</v>
      </c>
      <c r="K137">
        <v>1262.17</v>
      </c>
      <c r="L137">
        <v>499.32</v>
      </c>
    </row>
    <row r="138" spans="1:12" x14ac:dyDescent="0.25">
      <c r="A138">
        <v>137</v>
      </c>
      <c r="B138" t="s">
        <v>130</v>
      </c>
      <c r="C138" t="s">
        <v>366</v>
      </c>
      <c r="D138" t="s">
        <v>370</v>
      </c>
      <c r="E138" t="s">
        <v>431</v>
      </c>
      <c r="F138" t="s">
        <v>486</v>
      </c>
      <c r="G138">
        <v>4303</v>
      </c>
      <c r="H138">
        <v>1.44</v>
      </c>
      <c r="I138">
        <v>6196.32</v>
      </c>
      <c r="J138">
        <v>0.97</v>
      </c>
      <c r="K138">
        <v>4173.91</v>
      </c>
      <c r="L138">
        <v>2022.41</v>
      </c>
    </row>
    <row r="139" spans="1:12" x14ac:dyDescent="0.25">
      <c r="A139">
        <v>138</v>
      </c>
      <c r="B139" t="s">
        <v>131</v>
      </c>
      <c r="C139" t="s">
        <v>366</v>
      </c>
      <c r="D139" t="s">
        <v>367</v>
      </c>
      <c r="E139" t="s">
        <v>377</v>
      </c>
      <c r="F139" t="s">
        <v>478</v>
      </c>
      <c r="G139">
        <v>2993</v>
      </c>
      <c r="H139">
        <v>1.5</v>
      </c>
      <c r="I139">
        <v>4489.5</v>
      </c>
      <c r="J139">
        <v>0.94</v>
      </c>
      <c r="K139">
        <v>2813.42</v>
      </c>
      <c r="L139">
        <v>1676.08</v>
      </c>
    </row>
    <row r="140" spans="1:12" x14ac:dyDescent="0.25">
      <c r="A140">
        <v>139</v>
      </c>
      <c r="B140" t="s">
        <v>67</v>
      </c>
      <c r="C140" t="s">
        <v>364</v>
      </c>
      <c r="D140" t="s">
        <v>368</v>
      </c>
      <c r="E140" t="s">
        <v>378</v>
      </c>
      <c r="F140" t="s">
        <v>475</v>
      </c>
      <c r="G140">
        <v>4925</v>
      </c>
      <c r="H140">
        <v>1.0900000000000001</v>
      </c>
      <c r="I140">
        <v>5368.25</v>
      </c>
      <c r="J140">
        <v>0.86</v>
      </c>
      <c r="K140">
        <v>4235.5</v>
      </c>
      <c r="L140">
        <v>1132.75</v>
      </c>
    </row>
    <row r="141" spans="1:12" x14ac:dyDescent="0.25">
      <c r="A141">
        <v>140</v>
      </c>
      <c r="B141" t="s">
        <v>132</v>
      </c>
      <c r="C141" t="s">
        <v>363</v>
      </c>
      <c r="D141" t="s">
        <v>369</v>
      </c>
      <c r="E141" t="s">
        <v>387</v>
      </c>
      <c r="F141" t="s">
        <v>489</v>
      </c>
      <c r="G141">
        <v>3843</v>
      </c>
      <c r="H141">
        <v>1.46</v>
      </c>
      <c r="I141">
        <v>5610.78</v>
      </c>
      <c r="J141">
        <v>0.98</v>
      </c>
      <c r="K141">
        <v>3766.14</v>
      </c>
      <c r="L141">
        <v>1844.64</v>
      </c>
    </row>
    <row r="142" spans="1:12" x14ac:dyDescent="0.25">
      <c r="A142">
        <v>141</v>
      </c>
      <c r="B142" t="s">
        <v>133</v>
      </c>
      <c r="C142" t="s">
        <v>366</v>
      </c>
      <c r="D142" t="s">
        <v>370</v>
      </c>
      <c r="E142" t="s">
        <v>396</v>
      </c>
      <c r="F142" t="s">
        <v>473</v>
      </c>
      <c r="G142">
        <v>2434</v>
      </c>
      <c r="H142">
        <v>1.4</v>
      </c>
      <c r="I142">
        <v>3407.6</v>
      </c>
      <c r="J142">
        <v>0.87</v>
      </c>
      <c r="K142">
        <v>2117.58</v>
      </c>
      <c r="L142">
        <v>1290.02</v>
      </c>
    </row>
    <row r="143" spans="1:12" x14ac:dyDescent="0.25">
      <c r="A143">
        <v>142</v>
      </c>
      <c r="B143" t="s">
        <v>98</v>
      </c>
      <c r="C143" t="s">
        <v>365</v>
      </c>
      <c r="D143" t="s">
        <v>370</v>
      </c>
      <c r="E143" t="s">
        <v>400</v>
      </c>
      <c r="F143" t="s">
        <v>484</v>
      </c>
      <c r="G143">
        <v>2760</v>
      </c>
      <c r="H143">
        <v>0.93</v>
      </c>
      <c r="I143">
        <v>2566.8000000000002</v>
      </c>
      <c r="J143">
        <v>0.59</v>
      </c>
      <c r="K143">
        <v>1628.4</v>
      </c>
      <c r="L143">
        <v>938.4</v>
      </c>
    </row>
    <row r="144" spans="1:12" x14ac:dyDescent="0.25">
      <c r="A144">
        <v>143</v>
      </c>
      <c r="B144" t="s">
        <v>134</v>
      </c>
      <c r="C144" t="s">
        <v>366</v>
      </c>
      <c r="D144" t="s">
        <v>367</v>
      </c>
      <c r="E144" t="s">
        <v>431</v>
      </c>
      <c r="F144" t="s">
        <v>489</v>
      </c>
      <c r="G144">
        <v>674</v>
      </c>
      <c r="H144">
        <v>0.84</v>
      </c>
      <c r="I144">
        <v>566.16</v>
      </c>
      <c r="J144">
        <v>0.56999999999999995</v>
      </c>
      <c r="K144">
        <v>384.18</v>
      </c>
      <c r="L144">
        <v>181.98</v>
      </c>
    </row>
    <row r="145" spans="1:12" x14ac:dyDescent="0.25">
      <c r="A145">
        <v>144</v>
      </c>
      <c r="B145" t="s">
        <v>135</v>
      </c>
      <c r="C145" t="s">
        <v>363</v>
      </c>
      <c r="D145" t="s">
        <v>368</v>
      </c>
      <c r="E145" t="s">
        <v>424</v>
      </c>
      <c r="F145" t="s">
        <v>476</v>
      </c>
      <c r="G145">
        <v>2197</v>
      </c>
      <c r="H145">
        <v>1.21</v>
      </c>
      <c r="I145">
        <v>2658.37</v>
      </c>
      <c r="J145">
        <v>0.97</v>
      </c>
      <c r="K145">
        <v>2131.09</v>
      </c>
      <c r="L145">
        <v>527.28</v>
      </c>
    </row>
    <row r="146" spans="1:12" x14ac:dyDescent="0.25">
      <c r="A146">
        <v>145</v>
      </c>
      <c r="B146" t="s">
        <v>136</v>
      </c>
      <c r="C146" t="s">
        <v>366</v>
      </c>
      <c r="D146" t="s">
        <v>370</v>
      </c>
      <c r="E146" t="s">
        <v>448</v>
      </c>
      <c r="F146" t="s">
        <v>472</v>
      </c>
      <c r="G146">
        <v>2771</v>
      </c>
      <c r="H146">
        <v>1.4</v>
      </c>
      <c r="I146">
        <v>3879.4</v>
      </c>
      <c r="J146">
        <v>0.89</v>
      </c>
      <c r="K146">
        <v>2466.19</v>
      </c>
      <c r="L146">
        <v>1413.21</v>
      </c>
    </row>
    <row r="147" spans="1:12" x14ac:dyDescent="0.25">
      <c r="A147">
        <v>146</v>
      </c>
      <c r="B147" t="s">
        <v>137</v>
      </c>
      <c r="C147" t="s">
        <v>366</v>
      </c>
      <c r="D147" t="s">
        <v>370</v>
      </c>
      <c r="E147" t="s">
        <v>409</v>
      </c>
      <c r="F147" t="s">
        <v>472</v>
      </c>
      <c r="G147">
        <v>1579</v>
      </c>
      <c r="H147">
        <v>0.81</v>
      </c>
      <c r="I147">
        <v>1278.99</v>
      </c>
      <c r="J147">
        <v>0.65</v>
      </c>
      <c r="K147">
        <v>1026.3499999999999</v>
      </c>
      <c r="L147">
        <v>252.64</v>
      </c>
    </row>
    <row r="148" spans="1:12" x14ac:dyDescent="0.25">
      <c r="A148">
        <v>147</v>
      </c>
      <c r="B148" t="s">
        <v>138</v>
      </c>
      <c r="C148" t="s">
        <v>363</v>
      </c>
      <c r="D148" t="s">
        <v>370</v>
      </c>
      <c r="E148" t="s">
        <v>445</v>
      </c>
      <c r="F148" t="s">
        <v>471</v>
      </c>
      <c r="G148">
        <v>929</v>
      </c>
      <c r="H148">
        <v>0.89</v>
      </c>
      <c r="I148">
        <v>826.81</v>
      </c>
      <c r="J148">
        <v>0.63</v>
      </c>
      <c r="K148">
        <v>585.27</v>
      </c>
      <c r="L148">
        <v>241.54</v>
      </c>
    </row>
    <row r="149" spans="1:12" x14ac:dyDescent="0.25">
      <c r="A149">
        <v>148</v>
      </c>
      <c r="B149" t="s">
        <v>128</v>
      </c>
      <c r="C149" t="s">
        <v>364</v>
      </c>
      <c r="D149" t="s">
        <v>367</v>
      </c>
      <c r="E149" t="s">
        <v>434</v>
      </c>
      <c r="F149" t="s">
        <v>475</v>
      </c>
      <c r="G149">
        <v>4704</v>
      </c>
      <c r="H149">
        <v>1.22</v>
      </c>
      <c r="I149">
        <v>5738.88</v>
      </c>
      <c r="J149">
        <v>0.87</v>
      </c>
      <c r="K149">
        <v>4092.48</v>
      </c>
      <c r="L149">
        <v>1646.4</v>
      </c>
    </row>
    <row r="150" spans="1:12" x14ac:dyDescent="0.25">
      <c r="A150">
        <v>149</v>
      </c>
      <c r="B150" t="s">
        <v>91</v>
      </c>
      <c r="C150" t="s">
        <v>365</v>
      </c>
      <c r="D150" t="s">
        <v>367</v>
      </c>
      <c r="E150" t="s">
        <v>378</v>
      </c>
      <c r="F150" t="s">
        <v>472</v>
      </c>
      <c r="G150">
        <v>998</v>
      </c>
      <c r="H150">
        <v>1.5</v>
      </c>
      <c r="I150">
        <v>1497</v>
      </c>
      <c r="J150">
        <v>1.22</v>
      </c>
      <c r="K150">
        <v>1217.56</v>
      </c>
      <c r="L150">
        <v>279.44</v>
      </c>
    </row>
    <row r="151" spans="1:12" x14ac:dyDescent="0.25">
      <c r="A151">
        <v>150</v>
      </c>
      <c r="B151" t="s">
        <v>139</v>
      </c>
      <c r="C151" t="s">
        <v>364</v>
      </c>
      <c r="D151" t="s">
        <v>367</v>
      </c>
      <c r="E151" t="s">
        <v>390</v>
      </c>
      <c r="F151" t="s">
        <v>473</v>
      </c>
      <c r="G151">
        <v>1102</v>
      </c>
      <c r="H151">
        <v>1.43</v>
      </c>
      <c r="I151">
        <v>1575.86</v>
      </c>
      <c r="J151">
        <v>0.97</v>
      </c>
      <c r="K151">
        <v>1068.94</v>
      </c>
      <c r="L151">
        <v>506.92</v>
      </c>
    </row>
    <row r="152" spans="1:12" x14ac:dyDescent="0.25">
      <c r="A152">
        <v>151</v>
      </c>
      <c r="B152" t="s">
        <v>140</v>
      </c>
      <c r="C152" t="s">
        <v>366</v>
      </c>
      <c r="D152" t="s">
        <v>367</v>
      </c>
      <c r="E152" t="s">
        <v>374</v>
      </c>
      <c r="F152" t="s">
        <v>489</v>
      </c>
      <c r="G152">
        <v>4992</v>
      </c>
      <c r="H152">
        <v>1.3</v>
      </c>
      <c r="I152">
        <v>6489.6</v>
      </c>
      <c r="J152">
        <v>0.9</v>
      </c>
      <c r="K152">
        <v>4492.8</v>
      </c>
      <c r="L152">
        <v>1996.8</v>
      </c>
    </row>
    <row r="153" spans="1:12" x14ac:dyDescent="0.25">
      <c r="A153">
        <v>152</v>
      </c>
      <c r="B153" t="s">
        <v>25</v>
      </c>
      <c r="C153" t="s">
        <v>364</v>
      </c>
      <c r="D153" t="s">
        <v>370</v>
      </c>
      <c r="E153" t="s">
        <v>405</v>
      </c>
      <c r="F153" t="s">
        <v>489</v>
      </c>
      <c r="G153">
        <v>4024</v>
      </c>
      <c r="H153">
        <v>0.87</v>
      </c>
      <c r="I153">
        <v>3500.88</v>
      </c>
      <c r="J153">
        <v>0.67</v>
      </c>
      <c r="K153">
        <v>2696.08</v>
      </c>
      <c r="L153">
        <v>804.8</v>
      </c>
    </row>
    <row r="154" spans="1:12" x14ac:dyDescent="0.25">
      <c r="A154">
        <v>153</v>
      </c>
      <c r="B154" t="s">
        <v>116</v>
      </c>
      <c r="C154" t="s">
        <v>364</v>
      </c>
      <c r="D154" t="s">
        <v>368</v>
      </c>
      <c r="E154" t="s">
        <v>434</v>
      </c>
      <c r="F154" t="s">
        <v>477</v>
      </c>
      <c r="G154">
        <v>3889</v>
      </c>
      <c r="H154">
        <v>1.04</v>
      </c>
      <c r="I154">
        <v>4044.56</v>
      </c>
      <c r="J154">
        <v>0.74</v>
      </c>
      <c r="K154">
        <v>2877.86</v>
      </c>
      <c r="L154">
        <v>1166.7</v>
      </c>
    </row>
    <row r="155" spans="1:12" x14ac:dyDescent="0.25">
      <c r="A155">
        <v>154</v>
      </c>
      <c r="B155" t="s">
        <v>141</v>
      </c>
      <c r="C155" t="s">
        <v>365</v>
      </c>
      <c r="D155" t="s">
        <v>367</v>
      </c>
      <c r="E155" t="s">
        <v>449</v>
      </c>
      <c r="F155" t="s">
        <v>487</v>
      </c>
      <c r="G155">
        <v>2588</v>
      </c>
      <c r="H155">
        <v>1.06</v>
      </c>
      <c r="I155">
        <v>2743.28</v>
      </c>
      <c r="J155">
        <v>0.68</v>
      </c>
      <c r="K155">
        <v>1759.84</v>
      </c>
      <c r="L155">
        <v>983.44</v>
      </c>
    </row>
    <row r="156" spans="1:12" x14ac:dyDescent="0.25">
      <c r="A156">
        <v>155</v>
      </c>
      <c r="B156" t="s">
        <v>142</v>
      </c>
      <c r="C156" t="s">
        <v>363</v>
      </c>
      <c r="D156" t="s">
        <v>367</v>
      </c>
      <c r="E156" t="s">
        <v>376</v>
      </c>
      <c r="F156" t="s">
        <v>486</v>
      </c>
      <c r="G156">
        <v>4037</v>
      </c>
      <c r="H156">
        <v>0.87</v>
      </c>
      <c r="I156">
        <v>3512.19</v>
      </c>
      <c r="J156">
        <v>0.68</v>
      </c>
      <c r="K156">
        <v>2745.16</v>
      </c>
      <c r="L156">
        <v>767.03</v>
      </c>
    </row>
    <row r="157" spans="1:12" x14ac:dyDescent="0.25">
      <c r="A157">
        <v>156</v>
      </c>
      <c r="B157" t="s">
        <v>137</v>
      </c>
      <c r="C157" t="s">
        <v>365</v>
      </c>
      <c r="D157" t="s">
        <v>367</v>
      </c>
      <c r="E157" t="s">
        <v>403</v>
      </c>
      <c r="F157" t="s">
        <v>488</v>
      </c>
      <c r="G157">
        <v>3865</v>
      </c>
      <c r="H157">
        <v>1.05</v>
      </c>
      <c r="I157">
        <v>4058.25</v>
      </c>
      <c r="J157">
        <v>0.8</v>
      </c>
      <c r="K157">
        <v>3092</v>
      </c>
      <c r="L157">
        <v>966.25</v>
      </c>
    </row>
    <row r="158" spans="1:12" x14ac:dyDescent="0.25">
      <c r="A158">
        <v>157</v>
      </c>
      <c r="B158" t="s">
        <v>30</v>
      </c>
      <c r="C158" t="s">
        <v>365</v>
      </c>
      <c r="D158" t="s">
        <v>367</v>
      </c>
      <c r="E158" t="s">
        <v>448</v>
      </c>
      <c r="F158" t="s">
        <v>482</v>
      </c>
      <c r="G158">
        <v>3380</v>
      </c>
      <c r="H158">
        <v>0.87</v>
      </c>
      <c r="I158">
        <v>2940.6</v>
      </c>
      <c r="J158">
        <v>0.63</v>
      </c>
      <c r="K158">
        <v>2129.4</v>
      </c>
      <c r="L158">
        <v>811.2</v>
      </c>
    </row>
    <row r="159" spans="1:12" x14ac:dyDescent="0.25">
      <c r="A159">
        <v>158</v>
      </c>
      <c r="B159" t="s">
        <v>132</v>
      </c>
      <c r="C159" t="s">
        <v>366</v>
      </c>
      <c r="D159" t="s">
        <v>369</v>
      </c>
      <c r="E159" t="s">
        <v>450</v>
      </c>
      <c r="F159" t="s">
        <v>475</v>
      </c>
      <c r="G159">
        <v>3511</v>
      </c>
      <c r="H159">
        <v>0.88</v>
      </c>
      <c r="I159">
        <v>3089.68</v>
      </c>
      <c r="J159">
        <v>0.59</v>
      </c>
      <c r="K159">
        <v>2071.4899999999998</v>
      </c>
      <c r="L159">
        <v>1018.19</v>
      </c>
    </row>
    <row r="160" spans="1:12" x14ac:dyDescent="0.25">
      <c r="A160">
        <v>159</v>
      </c>
      <c r="B160" t="s">
        <v>143</v>
      </c>
      <c r="C160" t="s">
        <v>363</v>
      </c>
      <c r="D160" t="s">
        <v>369</v>
      </c>
      <c r="E160" t="s">
        <v>444</v>
      </c>
      <c r="F160" t="s">
        <v>471</v>
      </c>
      <c r="G160">
        <v>737</v>
      </c>
      <c r="H160">
        <v>0.93</v>
      </c>
      <c r="I160">
        <v>685.41</v>
      </c>
      <c r="J160">
        <v>0.72</v>
      </c>
      <c r="K160">
        <v>530.64</v>
      </c>
      <c r="L160">
        <v>154.77000000000001</v>
      </c>
    </row>
    <row r="161" spans="1:12" x14ac:dyDescent="0.25">
      <c r="A161">
        <v>160</v>
      </c>
      <c r="B161" t="s">
        <v>144</v>
      </c>
      <c r="C161" t="s">
        <v>365</v>
      </c>
      <c r="D161" t="s">
        <v>370</v>
      </c>
      <c r="E161" t="s">
        <v>398</v>
      </c>
      <c r="F161" t="s">
        <v>480</v>
      </c>
      <c r="G161">
        <v>1673</v>
      </c>
      <c r="H161">
        <v>1.2</v>
      </c>
      <c r="I161">
        <v>2007.6</v>
      </c>
      <c r="J161">
        <v>0.84</v>
      </c>
      <c r="K161">
        <v>1405.32</v>
      </c>
      <c r="L161">
        <v>602.28</v>
      </c>
    </row>
    <row r="162" spans="1:12" x14ac:dyDescent="0.25">
      <c r="A162">
        <v>161</v>
      </c>
      <c r="B162" t="s">
        <v>103</v>
      </c>
      <c r="C162" t="s">
        <v>363</v>
      </c>
      <c r="D162" t="s">
        <v>367</v>
      </c>
      <c r="E162" t="s">
        <v>432</v>
      </c>
      <c r="F162" t="s">
        <v>490</v>
      </c>
      <c r="G162">
        <v>2262</v>
      </c>
      <c r="H162">
        <v>1.06</v>
      </c>
      <c r="I162">
        <v>2397.7199999999998</v>
      </c>
      <c r="J162">
        <v>0.76</v>
      </c>
      <c r="K162">
        <v>1719.12</v>
      </c>
      <c r="L162">
        <v>678.6</v>
      </c>
    </row>
    <row r="163" spans="1:12" x14ac:dyDescent="0.25">
      <c r="A163">
        <v>162</v>
      </c>
      <c r="B163" t="s">
        <v>42</v>
      </c>
      <c r="C163" t="s">
        <v>365</v>
      </c>
      <c r="D163" t="s">
        <v>370</v>
      </c>
      <c r="E163" t="s">
        <v>451</v>
      </c>
      <c r="F163" t="s">
        <v>487</v>
      </c>
      <c r="G163">
        <v>1195</v>
      </c>
      <c r="H163">
        <v>1.42</v>
      </c>
      <c r="I163">
        <v>1696.9</v>
      </c>
      <c r="J163">
        <v>0.91</v>
      </c>
      <c r="K163">
        <v>1087.45</v>
      </c>
      <c r="L163">
        <v>609.45000000000005</v>
      </c>
    </row>
    <row r="164" spans="1:12" x14ac:dyDescent="0.25">
      <c r="A164">
        <v>163</v>
      </c>
      <c r="B164" t="s">
        <v>145</v>
      </c>
      <c r="C164" t="s">
        <v>363</v>
      </c>
      <c r="D164" t="s">
        <v>367</v>
      </c>
      <c r="E164" t="s">
        <v>412</v>
      </c>
      <c r="F164" t="s">
        <v>473</v>
      </c>
      <c r="G164">
        <v>3973</v>
      </c>
      <c r="H164">
        <v>1.1399999999999999</v>
      </c>
      <c r="I164">
        <v>4529.22</v>
      </c>
      <c r="J164">
        <v>0.81</v>
      </c>
      <c r="K164">
        <v>3218.13</v>
      </c>
      <c r="L164">
        <v>1311.09</v>
      </c>
    </row>
    <row r="165" spans="1:12" x14ac:dyDescent="0.25">
      <c r="A165">
        <v>164</v>
      </c>
      <c r="B165" t="s">
        <v>146</v>
      </c>
      <c r="C165" t="s">
        <v>363</v>
      </c>
      <c r="D165" t="s">
        <v>368</v>
      </c>
      <c r="E165" t="s">
        <v>452</v>
      </c>
      <c r="F165" t="s">
        <v>481</v>
      </c>
      <c r="G165">
        <v>1408</v>
      </c>
      <c r="H165">
        <v>1</v>
      </c>
      <c r="I165">
        <v>1408</v>
      </c>
      <c r="J165">
        <v>0.77</v>
      </c>
      <c r="K165">
        <v>1084.1600000000001</v>
      </c>
      <c r="L165">
        <v>323.83999999999997</v>
      </c>
    </row>
    <row r="166" spans="1:12" x14ac:dyDescent="0.25">
      <c r="A166">
        <v>165</v>
      </c>
      <c r="B166" t="s">
        <v>147</v>
      </c>
      <c r="C166" t="s">
        <v>363</v>
      </c>
      <c r="D166" t="s">
        <v>370</v>
      </c>
      <c r="E166" t="s">
        <v>373</v>
      </c>
      <c r="F166" t="s">
        <v>484</v>
      </c>
      <c r="G166">
        <v>948</v>
      </c>
      <c r="H166">
        <v>0.81</v>
      </c>
      <c r="I166">
        <v>767.88</v>
      </c>
      <c r="J166">
        <v>0.55000000000000004</v>
      </c>
      <c r="K166">
        <v>521.4</v>
      </c>
      <c r="L166">
        <v>246.48</v>
      </c>
    </row>
    <row r="167" spans="1:12" x14ac:dyDescent="0.25">
      <c r="A167">
        <v>166</v>
      </c>
      <c r="B167" t="s">
        <v>148</v>
      </c>
      <c r="C167" t="s">
        <v>365</v>
      </c>
      <c r="D167" t="s">
        <v>368</v>
      </c>
      <c r="E167" t="s">
        <v>386</v>
      </c>
      <c r="F167" t="s">
        <v>487</v>
      </c>
      <c r="G167">
        <v>1482</v>
      </c>
      <c r="H167">
        <v>0.81</v>
      </c>
      <c r="I167">
        <v>1200.42</v>
      </c>
      <c r="J167">
        <v>0.64</v>
      </c>
      <c r="K167">
        <v>948.48</v>
      </c>
      <c r="L167">
        <v>251.94</v>
      </c>
    </row>
    <row r="168" spans="1:12" x14ac:dyDescent="0.25">
      <c r="A168">
        <v>167</v>
      </c>
      <c r="B168" t="s">
        <v>149</v>
      </c>
      <c r="C168" t="s">
        <v>364</v>
      </c>
      <c r="D168" t="s">
        <v>368</v>
      </c>
      <c r="E168" t="s">
        <v>379</v>
      </c>
      <c r="F168" t="s">
        <v>477</v>
      </c>
      <c r="G168">
        <v>4598</v>
      </c>
      <c r="H168">
        <v>1.19</v>
      </c>
      <c r="I168">
        <v>5471.62</v>
      </c>
      <c r="J168">
        <v>0.91</v>
      </c>
      <c r="K168">
        <v>4184.18</v>
      </c>
      <c r="L168">
        <v>1287.44</v>
      </c>
    </row>
    <row r="169" spans="1:12" x14ac:dyDescent="0.25">
      <c r="A169">
        <v>168</v>
      </c>
      <c r="B169" t="s">
        <v>35</v>
      </c>
      <c r="C169" t="s">
        <v>364</v>
      </c>
      <c r="D169" t="s">
        <v>367</v>
      </c>
      <c r="E169" t="s">
        <v>371</v>
      </c>
      <c r="F169" t="s">
        <v>478</v>
      </c>
      <c r="G169">
        <v>4073</v>
      </c>
      <c r="H169">
        <v>0.81</v>
      </c>
      <c r="I169">
        <v>3299.13</v>
      </c>
      <c r="J169">
        <v>0.67</v>
      </c>
      <c r="K169">
        <v>2728.91</v>
      </c>
      <c r="L169">
        <v>570.22</v>
      </c>
    </row>
    <row r="170" spans="1:12" x14ac:dyDescent="0.25">
      <c r="A170">
        <v>169</v>
      </c>
      <c r="B170" t="s">
        <v>150</v>
      </c>
      <c r="C170" t="s">
        <v>364</v>
      </c>
      <c r="D170" t="s">
        <v>369</v>
      </c>
      <c r="E170" t="s">
        <v>453</v>
      </c>
      <c r="F170" t="s">
        <v>481</v>
      </c>
      <c r="G170">
        <v>2871</v>
      </c>
      <c r="H170">
        <v>0.88</v>
      </c>
      <c r="I170">
        <v>2526.48</v>
      </c>
      <c r="J170">
        <v>0.53</v>
      </c>
      <c r="K170">
        <v>1521.63</v>
      </c>
      <c r="L170">
        <v>1004.85</v>
      </c>
    </row>
    <row r="171" spans="1:12" x14ac:dyDescent="0.25">
      <c r="A171">
        <v>170</v>
      </c>
      <c r="B171" t="s">
        <v>88</v>
      </c>
      <c r="C171" t="s">
        <v>364</v>
      </c>
      <c r="D171" t="s">
        <v>368</v>
      </c>
      <c r="E171" t="s">
        <v>454</v>
      </c>
      <c r="F171" t="s">
        <v>475</v>
      </c>
      <c r="G171">
        <v>1221</v>
      </c>
      <c r="H171">
        <v>1.1100000000000001</v>
      </c>
      <c r="I171">
        <v>1355.31</v>
      </c>
      <c r="J171">
        <v>0.7</v>
      </c>
      <c r="K171">
        <v>854.7</v>
      </c>
      <c r="L171">
        <v>500.61</v>
      </c>
    </row>
    <row r="172" spans="1:12" x14ac:dyDescent="0.25">
      <c r="A172">
        <v>171</v>
      </c>
      <c r="B172" t="s">
        <v>60</v>
      </c>
      <c r="C172" t="s">
        <v>363</v>
      </c>
      <c r="D172" t="s">
        <v>369</v>
      </c>
      <c r="E172" t="s">
        <v>455</v>
      </c>
      <c r="F172" t="s">
        <v>482</v>
      </c>
      <c r="G172">
        <v>3281</v>
      </c>
      <c r="H172">
        <v>0.96</v>
      </c>
      <c r="I172">
        <v>3149.76</v>
      </c>
      <c r="J172">
        <v>0.76</v>
      </c>
      <c r="K172">
        <v>2493.56</v>
      </c>
      <c r="L172">
        <v>656.2</v>
      </c>
    </row>
    <row r="173" spans="1:12" x14ac:dyDescent="0.25">
      <c r="A173">
        <v>172</v>
      </c>
      <c r="B173" t="s">
        <v>151</v>
      </c>
      <c r="C173" t="s">
        <v>366</v>
      </c>
      <c r="D173" t="s">
        <v>367</v>
      </c>
      <c r="E173" t="s">
        <v>427</v>
      </c>
      <c r="F173" t="s">
        <v>475</v>
      </c>
      <c r="G173">
        <v>3376</v>
      </c>
      <c r="H173">
        <v>1.31</v>
      </c>
      <c r="I173">
        <v>4422.5600000000004</v>
      </c>
      <c r="J173">
        <v>1.05</v>
      </c>
      <c r="K173">
        <v>3544.8</v>
      </c>
      <c r="L173">
        <v>877.76</v>
      </c>
    </row>
    <row r="174" spans="1:12" x14ac:dyDescent="0.25">
      <c r="A174">
        <v>173</v>
      </c>
      <c r="B174" t="s">
        <v>140</v>
      </c>
      <c r="C174" t="s">
        <v>363</v>
      </c>
      <c r="D174" t="s">
        <v>368</v>
      </c>
      <c r="E174" t="s">
        <v>446</v>
      </c>
      <c r="F174" t="s">
        <v>471</v>
      </c>
      <c r="G174">
        <v>2116</v>
      </c>
      <c r="H174">
        <v>0.92</v>
      </c>
      <c r="I174">
        <v>1946.72</v>
      </c>
      <c r="J174">
        <v>0.59</v>
      </c>
      <c r="K174">
        <v>1248.44</v>
      </c>
      <c r="L174">
        <v>698.28</v>
      </c>
    </row>
    <row r="175" spans="1:12" x14ac:dyDescent="0.25">
      <c r="A175">
        <v>174</v>
      </c>
      <c r="B175" t="s">
        <v>116</v>
      </c>
      <c r="C175" t="s">
        <v>366</v>
      </c>
      <c r="D175" t="s">
        <v>367</v>
      </c>
      <c r="E175" t="s">
        <v>380</v>
      </c>
      <c r="F175" t="s">
        <v>483</v>
      </c>
      <c r="G175">
        <v>4300</v>
      </c>
      <c r="H175">
        <v>1.33</v>
      </c>
      <c r="I175">
        <v>5719</v>
      </c>
      <c r="J175">
        <v>1.05</v>
      </c>
      <c r="K175">
        <v>4515</v>
      </c>
      <c r="L175">
        <v>1204</v>
      </c>
    </row>
    <row r="176" spans="1:12" x14ac:dyDescent="0.25">
      <c r="A176">
        <v>175</v>
      </c>
      <c r="B176" t="s">
        <v>152</v>
      </c>
      <c r="C176" t="s">
        <v>365</v>
      </c>
      <c r="D176" t="s">
        <v>370</v>
      </c>
      <c r="E176" t="s">
        <v>399</v>
      </c>
      <c r="F176" t="s">
        <v>473</v>
      </c>
      <c r="G176">
        <v>1059</v>
      </c>
      <c r="H176">
        <v>1.1299999999999999</v>
      </c>
      <c r="I176">
        <v>1196.67</v>
      </c>
      <c r="J176">
        <v>0.86</v>
      </c>
      <c r="K176">
        <v>910.74</v>
      </c>
      <c r="L176">
        <v>285.93</v>
      </c>
    </row>
    <row r="177" spans="1:12" x14ac:dyDescent="0.25">
      <c r="A177">
        <v>176</v>
      </c>
      <c r="B177" t="s">
        <v>124</v>
      </c>
      <c r="C177" t="s">
        <v>365</v>
      </c>
      <c r="D177" t="s">
        <v>367</v>
      </c>
      <c r="E177" t="s">
        <v>405</v>
      </c>
      <c r="F177" t="s">
        <v>486</v>
      </c>
      <c r="G177">
        <v>3042</v>
      </c>
      <c r="H177">
        <v>1.1200000000000001</v>
      </c>
      <c r="I177">
        <v>3407.04</v>
      </c>
      <c r="J177">
        <v>0.68</v>
      </c>
      <c r="K177">
        <v>2068.56</v>
      </c>
      <c r="L177">
        <v>1338.48</v>
      </c>
    </row>
    <row r="178" spans="1:12" x14ac:dyDescent="0.25">
      <c r="A178">
        <v>177</v>
      </c>
      <c r="B178" t="s">
        <v>153</v>
      </c>
      <c r="C178" t="s">
        <v>363</v>
      </c>
      <c r="D178" t="s">
        <v>370</v>
      </c>
      <c r="E178" t="s">
        <v>431</v>
      </c>
      <c r="F178" t="s">
        <v>486</v>
      </c>
      <c r="G178">
        <v>4653</v>
      </c>
      <c r="H178">
        <v>1.07</v>
      </c>
      <c r="I178">
        <v>4978.71</v>
      </c>
      <c r="J178">
        <v>0.8</v>
      </c>
      <c r="K178">
        <v>3722.4</v>
      </c>
      <c r="L178">
        <v>1256.31</v>
      </c>
    </row>
    <row r="179" spans="1:12" x14ac:dyDescent="0.25">
      <c r="A179">
        <v>178</v>
      </c>
      <c r="B179" t="s">
        <v>85</v>
      </c>
      <c r="C179" t="s">
        <v>366</v>
      </c>
      <c r="D179" t="s">
        <v>369</v>
      </c>
      <c r="E179" t="s">
        <v>441</v>
      </c>
      <c r="F179" t="s">
        <v>489</v>
      </c>
      <c r="G179">
        <v>4396</v>
      </c>
      <c r="H179">
        <v>1.1499999999999999</v>
      </c>
      <c r="I179">
        <v>5055.3999999999996</v>
      </c>
      <c r="J179">
        <v>0.97</v>
      </c>
      <c r="K179">
        <v>4264.12</v>
      </c>
      <c r="L179">
        <v>791.28</v>
      </c>
    </row>
    <row r="180" spans="1:12" x14ac:dyDescent="0.25">
      <c r="A180">
        <v>179</v>
      </c>
      <c r="B180" t="s">
        <v>154</v>
      </c>
      <c r="C180" t="s">
        <v>365</v>
      </c>
      <c r="D180" t="s">
        <v>367</v>
      </c>
      <c r="E180" t="s">
        <v>390</v>
      </c>
      <c r="F180" t="s">
        <v>486</v>
      </c>
      <c r="G180">
        <v>4633</v>
      </c>
      <c r="H180">
        <v>1.25</v>
      </c>
      <c r="I180">
        <v>5791.25</v>
      </c>
      <c r="J180">
        <v>0.76</v>
      </c>
      <c r="K180">
        <v>3521.08</v>
      </c>
      <c r="L180">
        <v>2270.17</v>
      </c>
    </row>
    <row r="181" spans="1:12" x14ac:dyDescent="0.25">
      <c r="A181">
        <v>180</v>
      </c>
      <c r="B181" t="s">
        <v>95</v>
      </c>
      <c r="C181" t="s">
        <v>364</v>
      </c>
      <c r="D181" t="s">
        <v>369</v>
      </c>
      <c r="E181" t="s">
        <v>442</v>
      </c>
      <c r="F181" t="s">
        <v>490</v>
      </c>
      <c r="G181">
        <v>1800</v>
      </c>
      <c r="H181">
        <v>1.05</v>
      </c>
      <c r="I181">
        <v>1890</v>
      </c>
      <c r="J181">
        <v>0.87</v>
      </c>
      <c r="K181">
        <v>1566</v>
      </c>
      <c r="L181">
        <v>324</v>
      </c>
    </row>
    <row r="182" spans="1:12" x14ac:dyDescent="0.25">
      <c r="A182">
        <v>181</v>
      </c>
      <c r="B182" t="s">
        <v>155</v>
      </c>
      <c r="C182" t="s">
        <v>365</v>
      </c>
      <c r="D182" t="s">
        <v>369</v>
      </c>
      <c r="E182" t="s">
        <v>414</v>
      </c>
      <c r="F182" t="s">
        <v>489</v>
      </c>
      <c r="G182">
        <v>928</v>
      </c>
      <c r="H182">
        <v>1.35</v>
      </c>
      <c r="I182">
        <v>1252.8</v>
      </c>
      <c r="J182">
        <v>1.03</v>
      </c>
      <c r="K182">
        <v>955.84</v>
      </c>
      <c r="L182">
        <v>296.95999999999998</v>
      </c>
    </row>
    <row r="183" spans="1:12" x14ac:dyDescent="0.25">
      <c r="A183">
        <v>182</v>
      </c>
      <c r="B183" t="s">
        <v>156</v>
      </c>
      <c r="C183" t="s">
        <v>363</v>
      </c>
      <c r="D183" t="s">
        <v>370</v>
      </c>
      <c r="E183" t="s">
        <v>421</v>
      </c>
      <c r="F183" t="s">
        <v>484</v>
      </c>
      <c r="G183">
        <v>2827</v>
      </c>
      <c r="H183">
        <v>0.98</v>
      </c>
      <c r="I183">
        <v>2770.46</v>
      </c>
      <c r="J183">
        <v>0.8</v>
      </c>
      <c r="K183">
        <v>2261.6</v>
      </c>
      <c r="L183">
        <v>508.86</v>
      </c>
    </row>
    <row r="184" spans="1:12" x14ac:dyDescent="0.25">
      <c r="A184">
        <v>183</v>
      </c>
      <c r="B184" t="s">
        <v>157</v>
      </c>
      <c r="C184" t="s">
        <v>365</v>
      </c>
      <c r="D184" t="s">
        <v>368</v>
      </c>
      <c r="E184" t="s">
        <v>376</v>
      </c>
      <c r="F184" t="s">
        <v>479</v>
      </c>
      <c r="G184">
        <v>1658</v>
      </c>
      <c r="H184">
        <v>1.44</v>
      </c>
      <c r="I184">
        <v>2387.52</v>
      </c>
      <c r="J184">
        <v>0.98</v>
      </c>
      <c r="K184">
        <v>1624.84</v>
      </c>
      <c r="L184">
        <v>762.68</v>
      </c>
    </row>
    <row r="185" spans="1:12" x14ac:dyDescent="0.25">
      <c r="A185">
        <v>184</v>
      </c>
      <c r="B185" t="s">
        <v>116</v>
      </c>
      <c r="C185" t="s">
        <v>366</v>
      </c>
      <c r="D185" t="s">
        <v>369</v>
      </c>
      <c r="E185" t="s">
        <v>448</v>
      </c>
      <c r="F185" t="s">
        <v>486</v>
      </c>
      <c r="G185">
        <v>3036</v>
      </c>
      <c r="H185">
        <v>1.19</v>
      </c>
      <c r="I185">
        <v>3612.84</v>
      </c>
      <c r="J185">
        <v>0.91</v>
      </c>
      <c r="K185">
        <v>2762.76</v>
      </c>
      <c r="L185">
        <v>850.08</v>
      </c>
    </row>
    <row r="186" spans="1:12" x14ac:dyDescent="0.25">
      <c r="A186">
        <v>185</v>
      </c>
      <c r="B186" t="s">
        <v>158</v>
      </c>
      <c r="C186" t="s">
        <v>363</v>
      </c>
      <c r="D186" t="s">
        <v>368</v>
      </c>
      <c r="E186" t="s">
        <v>431</v>
      </c>
      <c r="F186" t="s">
        <v>481</v>
      </c>
      <c r="G186">
        <v>4665</v>
      </c>
      <c r="H186">
        <v>1.05</v>
      </c>
      <c r="I186">
        <v>4898.25</v>
      </c>
      <c r="J186">
        <v>0.73</v>
      </c>
      <c r="K186">
        <v>3405.45</v>
      </c>
      <c r="L186">
        <v>1492.8</v>
      </c>
    </row>
    <row r="187" spans="1:12" x14ac:dyDescent="0.25">
      <c r="A187">
        <v>186</v>
      </c>
      <c r="B187" t="s">
        <v>121</v>
      </c>
      <c r="C187" t="s">
        <v>365</v>
      </c>
      <c r="D187" t="s">
        <v>368</v>
      </c>
      <c r="E187" t="s">
        <v>380</v>
      </c>
      <c r="F187" t="s">
        <v>483</v>
      </c>
      <c r="G187">
        <v>2072</v>
      </c>
      <c r="H187">
        <v>0.96</v>
      </c>
      <c r="I187">
        <v>1989.12</v>
      </c>
      <c r="J187">
        <v>0.61</v>
      </c>
      <c r="K187">
        <v>1263.92</v>
      </c>
      <c r="L187">
        <v>725.2</v>
      </c>
    </row>
    <row r="188" spans="1:12" x14ac:dyDescent="0.25">
      <c r="A188">
        <v>187</v>
      </c>
      <c r="B188" t="s">
        <v>151</v>
      </c>
      <c r="C188" t="s">
        <v>363</v>
      </c>
      <c r="D188" t="s">
        <v>370</v>
      </c>
      <c r="E188" t="s">
        <v>405</v>
      </c>
      <c r="F188" t="s">
        <v>476</v>
      </c>
      <c r="G188">
        <v>4813</v>
      </c>
      <c r="H188">
        <v>0.83</v>
      </c>
      <c r="I188">
        <v>3994.79</v>
      </c>
      <c r="J188">
        <v>0.56999999999999995</v>
      </c>
      <c r="K188">
        <v>2743.41</v>
      </c>
      <c r="L188">
        <v>1251.3800000000001</v>
      </c>
    </row>
    <row r="189" spans="1:12" x14ac:dyDescent="0.25">
      <c r="A189">
        <v>188</v>
      </c>
      <c r="B189" t="s">
        <v>145</v>
      </c>
      <c r="C189" t="s">
        <v>364</v>
      </c>
      <c r="D189" t="s">
        <v>368</v>
      </c>
      <c r="E189" t="s">
        <v>399</v>
      </c>
      <c r="F189" t="s">
        <v>480</v>
      </c>
      <c r="G189">
        <v>1981</v>
      </c>
      <c r="H189">
        <v>1.38</v>
      </c>
      <c r="I189">
        <v>2733.78</v>
      </c>
      <c r="J189">
        <v>1.0900000000000001</v>
      </c>
      <c r="K189">
        <v>2159.29</v>
      </c>
      <c r="L189">
        <v>574.49</v>
      </c>
    </row>
    <row r="190" spans="1:12" x14ac:dyDescent="0.25">
      <c r="A190">
        <v>189</v>
      </c>
      <c r="B190" t="s">
        <v>159</v>
      </c>
      <c r="C190" t="s">
        <v>363</v>
      </c>
      <c r="D190" t="s">
        <v>369</v>
      </c>
      <c r="E190" t="s">
        <v>438</v>
      </c>
      <c r="F190" t="s">
        <v>475</v>
      </c>
      <c r="G190">
        <v>2445</v>
      </c>
      <c r="H190">
        <v>1.48</v>
      </c>
      <c r="I190">
        <v>3618.6</v>
      </c>
      <c r="J190">
        <v>1.1100000000000001</v>
      </c>
      <c r="K190">
        <v>2713.95</v>
      </c>
      <c r="L190">
        <v>904.65</v>
      </c>
    </row>
    <row r="191" spans="1:12" x14ac:dyDescent="0.25">
      <c r="A191">
        <v>190</v>
      </c>
      <c r="B191" t="s">
        <v>152</v>
      </c>
      <c r="C191" t="s">
        <v>366</v>
      </c>
      <c r="D191" t="s">
        <v>368</v>
      </c>
      <c r="E191" t="s">
        <v>428</v>
      </c>
      <c r="F191" t="s">
        <v>483</v>
      </c>
      <c r="G191">
        <v>2089</v>
      </c>
      <c r="H191">
        <v>1.06</v>
      </c>
      <c r="I191">
        <v>2214.34</v>
      </c>
      <c r="J191">
        <v>0.89</v>
      </c>
      <c r="K191">
        <v>1859.21</v>
      </c>
      <c r="L191">
        <v>355.13</v>
      </c>
    </row>
    <row r="192" spans="1:12" x14ac:dyDescent="0.25">
      <c r="A192">
        <v>191</v>
      </c>
      <c r="B192" t="s">
        <v>160</v>
      </c>
      <c r="C192" t="s">
        <v>365</v>
      </c>
      <c r="D192" t="s">
        <v>369</v>
      </c>
      <c r="E192" t="s">
        <v>427</v>
      </c>
      <c r="F192" t="s">
        <v>484</v>
      </c>
      <c r="G192">
        <v>4619</v>
      </c>
      <c r="H192">
        <v>1.17</v>
      </c>
      <c r="I192">
        <v>5404.23</v>
      </c>
      <c r="J192">
        <v>0.98</v>
      </c>
      <c r="K192">
        <v>4526.62</v>
      </c>
      <c r="L192">
        <v>877.61</v>
      </c>
    </row>
    <row r="193" spans="1:12" x14ac:dyDescent="0.25">
      <c r="A193">
        <v>192</v>
      </c>
      <c r="B193" t="s">
        <v>161</v>
      </c>
      <c r="C193" t="s">
        <v>365</v>
      </c>
      <c r="D193" t="s">
        <v>368</v>
      </c>
      <c r="E193" t="s">
        <v>456</v>
      </c>
      <c r="F193" t="s">
        <v>483</v>
      </c>
      <c r="G193">
        <v>3540</v>
      </c>
      <c r="H193">
        <v>1.19</v>
      </c>
      <c r="I193">
        <v>4212.6000000000004</v>
      </c>
      <c r="J193">
        <v>0.74</v>
      </c>
      <c r="K193">
        <v>2619.6</v>
      </c>
      <c r="L193">
        <v>1593</v>
      </c>
    </row>
    <row r="194" spans="1:12" x14ac:dyDescent="0.25">
      <c r="A194">
        <v>193</v>
      </c>
      <c r="B194" t="s">
        <v>162</v>
      </c>
      <c r="C194" t="s">
        <v>365</v>
      </c>
      <c r="D194" t="s">
        <v>367</v>
      </c>
      <c r="E194" t="s">
        <v>376</v>
      </c>
      <c r="F194" t="s">
        <v>480</v>
      </c>
      <c r="G194">
        <v>2734</v>
      </c>
      <c r="H194">
        <v>1.1100000000000001</v>
      </c>
      <c r="I194">
        <v>3034.74</v>
      </c>
      <c r="J194">
        <v>0.81</v>
      </c>
      <c r="K194">
        <v>2214.54</v>
      </c>
      <c r="L194">
        <v>820.2</v>
      </c>
    </row>
    <row r="195" spans="1:12" x14ac:dyDescent="0.25">
      <c r="A195">
        <v>194</v>
      </c>
      <c r="B195" t="s">
        <v>60</v>
      </c>
      <c r="C195" t="s">
        <v>366</v>
      </c>
      <c r="D195" t="s">
        <v>367</v>
      </c>
      <c r="E195" t="s">
        <v>434</v>
      </c>
      <c r="F195" t="s">
        <v>475</v>
      </c>
      <c r="G195">
        <v>718</v>
      </c>
      <c r="H195">
        <v>1.0900000000000001</v>
      </c>
      <c r="I195">
        <v>782.62</v>
      </c>
      <c r="J195">
        <v>0.76</v>
      </c>
      <c r="K195">
        <v>545.67999999999995</v>
      </c>
      <c r="L195">
        <v>236.94</v>
      </c>
    </row>
    <row r="196" spans="1:12" x14ac:dyDescent="0.25">
      <c r="A196">
        <v>195</v>
      </c>
      <c r="B196" t="s">
        <v>163</v>
      </c>
      <c r="C196" t="s">
        <v>364</v>
      </c>
      <c r="D196" t="s">
        <v>368</v>
      </c>
      <c r="E196" t="s">
        <v>376</v>
      </c>
      <c r="F196" t="s">
        <v>475</v>
      </c>
      <c r="G196">
        <v>2339</v>
      </c>
      <c r="H196">
        <v>0.82</v>
      </c>
      <c r="I196">
        <v>1917.98</v>
      </c>
      <c r="J196">
        <v>0.68</v>
      </c>
      <c r="K196">
        <v>1590.52</v>
      </c>
      <c r="L196">
        <v>327.45999999999998</v>
      </c>
    </row>
    <row r="197" spans="1:12" x14ac:dyDescent="0.25">
      <c r="A197">
        <v>196</v>
      </c>
      <c r="B197" t="s">
        <v>164</v>
      </c>
      <c r="C197" t="s">
        <v>366</v>
      </c>
      <c r="D197" t="s">
        <v>370</v>
      </c>
      <c r="E197" t="s">
        <v>457</v>
      </c>
      <c r="F197" t="s">
        <v>478</v>
      </c>
      <c r="G197">
        <v>2850</v>
      </c>
      <c r="H197">
        <v>1.44</v>
      </c>
      <c r="I197">
        <v>4104</v>
      </c>
      <c r="J197">
        <v>1.03</v>
      </c>
      <c r="K197">
        <v>2935.5</v>
      </c>
      <c r="L197">
        <v>1168.5</v>
      </c>
    </row>
    <row r="198" spans="1:12" x14ac:dyDescent="0.25">
      <c r="A198">
        <v>197</v>
      </c>
      <c r="B198" t="s">
        <v>165</v>
      </c>
      <c r="C198" t="s">
        <v>364</v>
      </c>
      <c r="D198" t="s">
        <v>369</v>
      </c>
      <c r="E198" t="s">
        <v>422</v>
      </c>
      <c r="F198" t="s">
        <v>472</v>
      </c>
      <c r="G198">
        <v>1149</v>
      </c>
      <c r="H198">
        <v>0.81</v>
      </c>
      <c r="I198">
        <v>930.69</v>
      </c>
      <c r="J198">
        <v>0.53</v>
      </c>
      <c r="K198">
        <v>608.97</v>
      </c>
      <c r="L198">
        <v>321.72000000000003</v>
      </c>
    </row>
    <row r="199" spans="1:12" x14ac:dyDescent="0.25">
      <c r="A199">
        <v>198</v>
      </c>
      <c r="B199" t="s">
        <v>166</v>
      </c>
      <c r="C199" t="s">
        <v>363</v>
      </c>
      <c r="D199" t="s">
        <v>369</v>
      </c>
      <c r="E199" t="s">
        <v>427</v>
      </c>
      <c r="F199" t="s">
        <v>482</v>
      </c>
      <c r="G199">
        <v>2446</v>
      </c>
      <c r="H199">
        <v>1.01</v>
      </c>
      <c r="I199">
        <v>2470.46</v>
      </c>
      <c r="J199">
        <v>0.62</v>
      </c>
      <c r="K199">
        <v>1516.52</v>
      </c>
      <c r="L199">
        <v>953.94</v>
      </c>
    </row>
    <row r="200" spans="1:12" x14ac:dyDescent="0.25">
      <c r="A200">
        <v>199</v>
      </c>
      <c r="B200" t="s">
        <v>167</v>
      </c>
      <c r="C200" t="s">
        <v>363</v>
      </c>
      <c r="D200" t="s">
        <v>369</v>
      </c>
      <c r="E200" t="s">
        <v>409</v>
      </c>
      <c r="F200" t="s">
        <v>483</v>
      </c>
      <c r="G200">
        <v>4891</v>
      </c>
      <c r="H200">
        <v>0.81</v>
      </c>
      <c r="I200">
        <v>3961.71</v>
      </c>
      <c r="J200">
        <v>0.59</v>
      </c>
      <c r="K200">
        <v>2885.69</v>
      </c>
      <c r="L200">
        <v>1076.02</v>
      </c>
    </row>
    <row r="201" spans="1:12" x14ac:dyDescent="0.25">
      <c r="A201">
        <v>200</v>
      </c>
      <c r="B201" t="s">
        <v>168</v>
      </c>
      <c r="C201" t="s">
        <v>365</v>
      </c>
      <c r="D201" t="s">
        <v>368</v>
      </c>
      <c r="E201" t="s">
        <v>449</v>
      </c>
      <c r="F201" t="s">
        <v>472</v>
      </c>
      <c r="G201">
        <v>3390</v>
      </c>
      <c r="H201">
        <v>0.97</v>
      </c>
      <c r="I201">
        <v>3288.3</v>
      </c>
      <c r="J201">
        <v>0.68</v>
      </c>
      <c r="K201">
        <v>2305.1999999999998</v>
      </c>
      <c r="L201">
        <v>983.1</v>
      </c>
    </row>
    <row r="202" spans="1:12" x14ac:dyDescent="0.25">
      <c r="A202">
        <v>201</v>
      </c>
      <c r="B202" t="s">
        <v>169</v>
      </c>
      <c r="C202" t="s">
        <v>365</v>
      </c>
      <c r="D202" t="s">
        <v>367</v>
      </c>
      <c r="E202" t="s">
        <v>458</v>
      </c>
      <c r="F202" t="s">
        <v>490</v>
      </c>
      <c r="G202">
        <v>4957</v>
      </c>
      <c r="H202">
        <v>1.1599999999999999</v>
      </c>
      <c r="I202">
        <v>5750.12</v>
      </c>
      <c r="J202">
        <v>0.98</v>
      </c>
      <c r="K202">
        <v>4857.8599999999997</v>
      </c>
      <c r="L202">
        <v>892.26</v>
      </c>
    </row>
    <row r="203" spans="1:12" x14ac:dyDescent="0.25">
      <c r="A203">
        <v>202</v>
      </c>
      <c r="B203" t="s">
        <v>48</v>
      </c>
      <c r="C203" t="s">
        <v>364</v>
      </c>
      <c r="D203" t="s">
        <v>367</v>
      </c>
      <c r="E203" t="s">
        <v>393</v>
      </c>
      <c r="F203" t="s">
        <v>478</v>
      </c>
      <c r="G203">
        <v>3669</v>
      </c>
      <c r="H203">
        <v>1.49</v>
      </c>
      <c r="I203">
        <v>5466.81</v>
      </c>
      <c r="J203">
        <v>0.99</v>
      </c>
      <c r="K203">
        <v>3632.31</v>
      </c>
      <c r="L203">
        <v>1834.5</v>
      </c>
    </row>
    <row r="204" spans="1:12" x14ac:dyDescent="0.25">
      <c r="A204">
        <v>203</v>
      </c>
      <c r="B204" t="s">
        <v>170</v>
      </c>
      <c r="C204" t="s">
        <v>363</v>
      </c>
      <c r="D204" t="s">
        <v>370</v>
      </c>
      <c r="E204" t="s">
        <v>452</v>
      </c>
      <c r="F204" t="s">
        <v>477</v>
      </c>
      <c r="G204">
        <v>1349</v>
      </c>
      <c r="H204">
        <v>1.34</v>
      </c>
      <c r="I204">
        <v>1807.66</v>
      </c>
      <c r="J204">
        <v>1.05</v>
      </c>
      <c r="K204">
        <v>1416.45</v>
      </c>
      <c r="L204">
        <v>391.21</v>
      </c>
    </row>
    <row r="205" spans="1:12" x14ac:dyDescent="0.25">
      <c r="A205">
        <v>204</v>
      </c>
      <c r="B205" t="s">
        <v>55</v>
      </c>
      <c r="C205" t="s">
        <v>363</v>
      </c>
      <c r="D205" t="s">
        <v>368</v>
      </c>
      <c r="E205" t="s">
        <v>375</v>
      </c>
      <c r="F205" t="s">
        <v>476</v>
      </c>
      <c r="G205">
        <v>3273</v>
      </c>
      <c r="H205">
        <v>1.37</v>
      </c>
      <c r="I205">
        <v>4484.01</v>
      </c>
      <c r="J205">
        <v>0.88</v>
      </c>
      <c r="K205">
        <v>2880.24</v>
      </c>
      <c r="L205">
        <v>1603.77</v>
      </c>
    </row>
    <row r="206" spans="1:12" x14ac:dyDescent="0.25">
      <c r="A206">
        <v>205</v>
      </c>
      <c r="B206" t="s">
        <v>171</v>
      </c>
      <c r="C206" t="s">
        <v>364</v>
      </c>
      <c r="D206" t="s">
        <v>369</v>
      </c>
      <c r="E206" t="s">
        <v>384</v>
      </c>
      <c r="F206" t="s">
        <v>480</v>
      </c>
      <c r="G206">
        <v>1604</v>
      </c>
      <c r="H206">
        <v>0.84</v>
      </c>
      <c r="I206">
        <v>1347.36</v>
      </c>
      <c r="J206">
        <v>0.67</v>
      </c>
      <c r="K206">
        <v>1074.68</v>
      </c>
      <c r="L206">
        <v>272.68</v>
      </c>
    </row>
    <row r="207" spans="1:12" x14ac:dyDescent="0.25">
      <c r="A207">
        <v>206</v>
      </c>
      <c r="B207" t="s">
        <v>172</v>
      </c>
      <c r="C207" t="s">
        <v>365</v>
      </c>
      <c r="D207" t="s">
        <v>367</v>
      </c>
      <c r="E207" t="s">
        <v>418</v>
      </c>
      <c r="F207" t="s">
        <v>478</v>
      </c>
      <c r="G207">
        <v>2134</v>
      </c>
      <c r="H207">
        <v>1.42</v>
      </c>
      <c r="I207">
        <v>3030.28</v>
      </c>
      <c r="J207">
        <v>0.96</v>
      </c>
      <c r="K207">
        <v>2048.64</v>
      </c>
      <c r="L207">
        <v>981.64</v>
      </c>
    </row>
    <row r="208" spans="1:12" x14ac:dyDescent="0.25">
      <c r="A208">
        <v>207</v>
      </c>
      <c r="B208" t="s">
        <v>144</v>
      </c>
      <c r="C208" t="s">
        <v>364</v>
      </c>
      <c r="D208" t="s">
        <v>369</v>
      </c>
      <c r="E208" t="s">
        <v>408</v>
      </c>
      <c r="F208" t="s">
        <v>478</v>
      </c>
      <c r="G208">
        <v>2065</v>
      </c>
      <c r="H208">
        <v>1</v>
      </c>
      <c r="I208">
        <v>2065</v>
      </c>
      <c r="J208">
        <v>0.82</v>
      </c>
      <c r="K208">
        <v>1693.3</v>
      </c>
      <c r="L208">
        <v>371.7</v>
      </c>
    </row>
    <row r="209" spans="1:12" x14ac:dyDescent="0.25">
      <c r="A209">
        <v>208</v>
      </c>
      <c r="B209" t="s">
        <v>24</v>
      </c>
      <c r="C209" t="s">
        <v>365</v>
      </c>
      <c r="D209" t="s">
        <v>370</v>
      </c>
      <c r="E209" t="s">
        <v>459</v>
      </c>
      <c r="F209" t="s">
        <v>475</v>
      </c>
      <c r="G209">
        <v>4079</v>
      </c>
      <c r="H209">
        <v>1.42</v>
      </c>
      <c r="I209">
        <v>5792.18</v>
      </c>
      <c r="J209">
        <v>1.1200000000000001</v>
      </c>
      <c r="K209">
        <v>4568.4799999999996</v>
      </c>
      <c r="L209">
        <v>1223.7</v>
      </c>
    </row>
    <row r="210" spans="1:12" x14ac:dyDescent="0.25">
      <c r="A210">
        <v>209</v>
      </c>
      <c r="B210" t="s">
        <v>173</v>
      </c>
      <c r="C210" t="s">
        <v>366</v>
      </c>
      <c r="D210" t="s">
        <v>370</v>
      </c>
      <c r="E210" t="s">
        <v>460</v>
      </c>
      <c r="F210" t="s">
        <v>483</v>
      </c>
      <c r="G210">
        <v>3509</v>
      </c>
      <c r="H210">
        <v>1.45</v>
      </c>
      <c r="I210">
        <v>5088.05</v>
      </c>
      <c r="J210">
        <v>1.06</v>
      </c>
      <c r="K210">
        <v>3719.54</v>
      </c>
      <c r="L210">
        <v>1368.51</v>
      </c>
    </row>
    <row r="211" spans="1:12" x14ac:dyDescent="0.25">
      <c r="A211">
        <v>210</v>
      </c>
      <c r="B211" t="s">
        <v>174</v>
      </c>
      <c r="C211" t="s">
        <v>363</v>
      </c>
      <c r="D211" t="s">
        <v>369</v>
      </c>
      <c r="E211" t="s">
        <v>416</v>
      </c>
      <c r="F211" t="s">
        <v>489</v>
      </c>
      <c r="G211">
        <v>1978</v>
      </c>
      <c r="H211">
        <v>1.18</v>
      </c>
      <c r="I211">
        <v>2334.04</v>
      </c>
      <c r="J211">
        <v>0.8</v>
      </c>
      <c r="K211">
        <v>1582.4</v>
      </c>
      <c r="L211">
        <v>751.64</v>
      </c>
    </row>
    <row r="212" spans="1:12" x14ac:dyDescent="0.25">
      <c r="A212">
        <v>211</v>
      </c>
      <c r="B212" t="s">
        <v>175</v>
      </c>
      <c r="C212" t="s">
        <v>365</v>
      </c>
      <c r="D212" t="s">
        <v>370</v>
      </c>
      <c r="E212" t="s">
        <v>428</v>
      </c>
      <c r="F212" t="s">
        <v>473</v>
      </c>
      <c r="G212">
        <v>3990</v>
      </c>
      <c r="H212">
        <v>0.92</v>
      </c>
      <c r="I212">
        <v>3670.8</v>
      </c>
      <c r="J212">
        <v>0.65</v>
      </c>
      <c r="K212">
        <v>2593.5</v>
      </c>
      <c r="L212">
        <v>1077.3</v>
      </c>
    </row>
    <row r="213" spans="1:12" x14ac:dyDescent="0.25">
      <c r="A213">
        <v>212</v>
      </c>
      <c r="B213" t="s">
        <v>176</v>
      </c>
      <c r="C213" t="s">
        <v>365</v>
      </c>
      <c r="D213" t="s">
        <v>367</v>
      </c>
      <c r="E213" t="s">
        <v>422</v>
      </c>
      <c r="F213" t="s">
        <v>481</v>
      </c>
      <c r="G213">
        <v>2749</v>
      </c>
      <c r="H213">
        <v>1.25</v>
      </c>
      <c r="I213">
        <v>3436.25</v>
      </c>
      <c r="J213">
        <v>1</v>
      </c>
      <c r="K213">
        <v>2749</v>
      </c>
      <c r="L213">
        <v>687.25</v>
      </c>
    </row>
    <row r="214" spans="1:12" x14ac:dyDescent="0.25">
      <c r="A214">
        <v>213</v>
      </c>
      <c r="B214" t="s">
        <v>177</v>
      </c>
      <c r="C214" t="s">
        <v>364</v>
      </c>
      <c r="D214" t="s">
        <v>367</v>
      </c>
      <c r="E214" t="s">
        <v>383</v>
      </c>
      <c r="F214" t="s">
        <v>490</v>
      </c>
      <c r="G214">
        <v>1810</v>
      </c>
      <c r="H214">
        <v>1.47</v>
      </c>
      <c r="I214">
        <v>2660.7</v>
      </c>
      <c r="J214">
        <v>0.93</v>
      </c>
      <c r="K214">
        <v>1683.3</v>
      </c>
      <c r="L214">
        <v>977.4</v>
      </c>
    </row>
    <row r="215" spans="1:12" x14ac:dyDescent="0.25">
      <c r="A215">
        <v>214</v>
      </c>
      <c r="B215" t="s">
        <v>178</v>
      </c>
      <c r="C215" t="s">
        <v>363</v>
      </c>
      <c r="D215" t="s">
        <v>369</v>
      </c>
      <c r="E215" t="s">
        <v>410</v>
      </c>
      <c r="F215" t="s">
        <v>486</v>
      </c>
      <c r="G215">
        <v>2433</v>
      </c>
      <c r="H215">
        <v>1.34</v>
      </c>
      <c r="I215">
        <v>3260.22</v>
      </c>
      <c r="J215">
        <v>0.93</v>
      </c>
      <c r="K215">
        <v>2262.69</v>
      </c>
      <c r="L215">
        <v>997.53</v>
      </c>
    </row>
    <row r="216" spans="1:12" x14ac:dyDescent="0.25">
      <c r="A216">
        <v>215</v>
      </c>
      <c r="B216" t="s">
        <v>179</v>
      </c>
      <c r="C216" t="s">
        <v>366</v>
      </c>
      <c r="D216" t="s">
        <v>367</v>
      </c>
      <c r="E216" t="s">
        <v>414</v>
      </c>
      <c r="F216" t="s">
        <v>473</v>
      </c>
      <c r="G216">
        <v>3538</v>
      </c>
      <c r="H216">
        <v>1.06</v>
      </c>
      <c r="I216">
        <v>3750.28</v>
      </c>
      <c r="J216">
        <v>0.84</v>
      </c>
      <c r="K216">
        <v>2971.92</v>
      </c>
      <c r="L216">
        <v>778.36</v>
      </c>
    </row>
    <row r="217" spans="1:12" x14ac:dyDescent="0.25">
      <c r="A217">
        <v>216</v>
      </c>
      <c r="B217" t="s">
        <v>180</v>
      </c>
      <c r="C217" t="s">
        <v>365</v>
      </c>
      <c r="D217" t="s">
        <v>368</v>
      </c>
      <c r="E217" t="s">
        <v>455</v>
      </c>
      <c r="F217" t="s">
        <v>487</v>
      </c>
      <c r="G217">
        <v>2783</v>
      </c>
      <c r="H217">
        <v>0.97</v>
      </c>
      <c r="I217">
        <v>2699.51</v>
      </c>
      <c r="J217">
        <v>0.61</v>
      </c>
      <c r="K217">
        <v>1697.63</v>
      </c>
      <c r="L217">
        <v>1001.88</v>
      </c>
    </row>
    <row r="218" spans="1:12" x14ac:dyDescent="0.25">
      <c r="A218">
        <v>217</v>
      </c>
      <c r="B218" t="s">
        <v>181</v>
      </c>
      <c r="C218" t="s">
        <v>364</v>
      </c>
      <c r="D218" t="s">
        <v>369</v>
      </c>
      <c r="E218" t="s">
        <v>421</v>
      </c>
      <c r="F218" t="s">
        <v>488</v>
      </c>
      <c r="G218">
        <v>2644</v>
      </c>
      <c r="H218">
        <v>1.34</v>
      </c>
      <c r="I218">
        <v>3542.96</v>
      </c>
      <c r="J218">
        <v>1.04</v>
      </c>
      <c r="K218">
        <v>2749.76</v>
      </c>
      <c r="L218">
        <v>793.2</v>
      </c>
    </row>
    <row r="219" spans="1:12" x14ac:dyDescent="0.25">
      <c r="A219">
        <v>218</v>
      </c>
      <c r="B219" t="s">
        <v>182</v>
      </c>
      <c r="C219" t="s">
        <v>364</v>
      </c>
      <c r="D219" t="s">
        <v>370</v>
      </c>
      <c r="E219" t="s">
        <v>418</v>
      </c>
      <c r="F219" t="s">
        <v>488</v>
      </c>
      <c r="G219">
        <v>1611</v>
      </c>
      <c r="H219">
        <v>1.4</v>
      </c>
      <c r="I219">
        <v>2255.4</v>
      </c>
      <c r="J219">
        <v>1</v>
      </c>
      <c r="K219">
        <v>1611</v>
      </c>
      <c r="L219">
        <v>644.4</v>
      </c>
    </row>
    <row r="220" spans="1:12" x14ac:dyDescent="0.25">
      <c r="A220">
        <v>219</v>
      </c>
      <c r="B220" t="s">
        <v>164</v>
      </c>
      <c r="C220" t="s">
        <v>363</v>
      </c>
      <c r="D220" t="s">
        <v>369</v>
      </c>
      <c r="E220" t="s">
        <v>411</v>
      </c>
      <c r="F220" t="s">
        <v>487</v>
      </c>
      <c r="G220">
        <v>3346</v>
      </c>
      <c r="H220">
        <v>1.3</v>
      </c>
      <c r="I220">
        <v>4349.8</v>
      </c>
      <c r="J220">
        <v>0.96</v>
      </c>
      <c r="K220">
        <v>3212.16</v>
      </c>
      <c r="L220">
        <v>1137.6400000000001</v>
      </c>
    </row>
    <row r="221" spans="1:12" x14ac:dyDescent="0.25">
      <c r="A221">
        <v>220</v>
      </c>
      <c r="B221" t="s">
        <v>183</v>
      </c>
      <c r="C221" t="s">
        <v>366</v>
      </c>
      <c r="D221" t="s">
        <v>370</v>
      </c>
      <c r="E221" t="s">
        <v>390</v>
      </c>
      <c r="F221" t="s">
        <v>480</v>
      </c>
      <c r="G221">
        <v>3461</v>
      </c>
      <c r="H221">
        <v>1.1599999999999999</v>
      </c>
      <c r="I221">
        <v>4014.76</v>
      </c>
      <c r="J221">
        <v>0.73</v>
      </c>
      <c r="K221">
        <v>2526.5300000000002</v>
      </c>
      <c r="L221">
        <v>1488.23</v>
      </c>
    </row>
    <row r="222" spans="1:12" x14ac:dyDescent="0.25">
      <c r="A222">
        <v>221</v>
      </c>
      <c r="B222" t="s">
        <v>161</v>
      </c>
      <c r="C222" t="s">
        <v>366</v>
      </c>
      <c r="D222" t="s">
        <v>368</v>
      </c>
      <c r="E222" t="s">
        <v>460</v>
      </c>
      <c r="F222" t="s">
        <v>472</v>
      </c>
      <c r="G222">
        <v>3456</v>
      </c>
      <c r="H222">
        <v>1.19</v>
      </c>
      <c r="I222">
        <v>4112.6400000000003</v>
      </c>
      <c r="J222">
        <v>0.82</v>
      </c>
      <c r="K222">
        <v>2833.92</v>
      </c>
      <c r="L222">
        <v>1278.72</v>
      </c>
    </row>
    <row r="223" spans="1:12" x14ac:dyDescent="0.25">
      <c r="A223">
        <v>222</v>
      </c>
      <c r="B223" t="s">
        <v>184</v>
      </c>
      <c r="C223" t="s">
        <v>363</v>
      </c>
      <c r="D223" t="s">
        <v>368</v>
      </c>
      <c r="E223" t="s">
        <v>458</v>
      </c>
      <c r="F223" t="s">
        <v>482</v>
      </c>
      <c r="G223">
        <v>3761</v>
      </c>
      <c r="H223">
        <v>1.5</v>
      </c>
      <c r="I223">
        <v>5641.5</v>
      </c>
      <c r="J223">
        <v>1.17</v>
      </c>
      <c r="K223">
        <v>4400.37</v>
      </c>
      <c r="L223">
        <v>1241.1300000000001</v>
      </c>
    </row>
    <row r="224" spans="1:12" x14ac:dyDescent="0.25">
      <c r="A224">
        <v>223</v>
      </c>
      <c r="B224" t="s">
        <v>185</v>
      </c>
      <c r="C224" t="s">
        <v>364</v>
      </c>
      <c r="D224" t="s">
        <v>369</v>
      </c>
      <c r="E224" t="s">
        <v>415</v>
      </c>
      <c r="F224" t="s">
        <v>486</v>
      </c>
      <c r="G224">
        <v>1526</v>
      </c>
      <c r="H224">
        <v>1.48</v>
      </c>
      <c r="I224">
        <v>2258.48</v>
      </c>
      <c r="J224">
        <v>1.1299999999999999</v>
      </c>
      <c r="K224">
        <v>1724.38</v>
      </c>
      <c r="L224">
        <v>534.1</v>
      </c>
    </row>
    <row r="225" spans="1:12" x14ac:dyDescent="0.25">
      <c r="A225">
        <v>224</v>
      </c>
      <c r="B225" t="s">
        <v>154</v>
      </c>
      <c r="C225" t="s">
        <v>365</v>
      </c>
      <c r="D225" t="s">
        <v>369</v>
      </c>
      <c r="E225" t="s">
        <v>410</v>
      </c>
      <c r="F225" t="s">
        <v>476</v>
      </c>
      <c r="G225">
        <v>1990</v>
      </c>
      <c r="H225">
        <v>1.34</v>
      </c>
      <c r="I225">
        <v>2666.6</v>
      </c>
      <c r="J225">
        <v>0.85</v>
      </c>
      <c r="K225">
        <v>1691.5</v>
      </c>
      <c r="L225">
        <v>975.1</v>
      </c>
    </row>
    <row r="226" spans="1:12" x14ac:dyDescent="0.25">
      <c r="A226">
        <v>225</v>
      </c>
      <c r="B226" t="s">
        <v>186</v>
      </c>
      <c r="C226" t="s">
        <v>363</v>
      </c>
      <c r="D226" t="s">
        <v>367</v>
      </c>
      <c r="E226" t="s">
        <v>430</v>
      </c>
      <c r="F226" t="s">
        <v>474</v>
      </c>
      <c r="G226">
        <v>2991</v>
      </c>
      <c r="H226">
        <v>0.92</v>
      </c>
      <c r="I226">
        <v>2751.72</v>
      </c>
      <c r="J226">
        <v>0.63</v>
      </c>
      <c r="K226">
        <v>1884.33</v>
      </c>
      <c r="L226">
        <v>867.39</v>
      </c>
    </row>
    <row r="227" spans="1:12" x14ac:dyDescent="0.25">
      <c r="A227">
        <v>226</v>
      </c>
      <c r="B227" t="s">
        <v>187</v>
      </c>
      <c r="C227" t="s">
        <v>365</v>
      </c>
      <c r="D227" t="s">
        <v>368</v>
      </c>
      <c r="E227" t="s">
        <v>430</v>
      </c>
      <c r="F227" t="s">
        <v>482</v>
      </c>
      <c r="G227">
        <v>1146</v>
      </c>
      <c r="H227">
        <v>0.98</v>
      </c>
      <c r="I227">
        <v>1123.08</v>
      </c>
      <c r="J227">
        <v>0.74</v>
      </c>
      <c r="K227">
        <v>848.04</v>
      </c>
      <c r="L227">
        <v>275.04000000000002</v>
      </c>
    </row>
    <row r="228" spans="1:12" x14ac:dyDescent="0.25">
      <c r="A228">
        <v>227</v>
      </c>
      <c r="B228" t="s">
        <v>184</v>
      </c>
      <c r="C228" t="s">
        <v>366</v>
      </c>
      <c r="D228" t="s">
        <v>370</v>
      </c>
      <c r="E228" t="s">
        <v>384</v>
      </c>
      <c r="F228" t="s">
        <v>482</v>
      </c>
      <c r="G228">
        <v>4870</v>
      </c>
      <c r="H228">
        <v>0.87</v>
      </c>
      <c r="I228">
        <v>4236.8999999999996</v>
      </c>
      <c r="J228">
        <v>0.66</v>
      </c>
      <c r="K228">
        <v>3214.2</v>
      </c>
      <c r="L228">
        <v>1022.7</v>
      </c>
    </row>
    <row r="229" spans="1:12" x14ac:dyDescent="0.25">
      <c r="A229">
        <v>228</v>
      </c>
      <c r="B229" t="s">
        <v>188</v>
      </c>
      <c r="C229" t="s">
        <v>366</v>
      </c>
      <c r="D229" t="s">
        <v>368</v>
      </c>
      <c r="E229" t="s">
        <v>389</v>
      </c>
      <c r="F229" t="s">
        <v>489</v>
      </c>
      <c r="G229">
        <v>3265</v>
      </c>
      <c r="H229">
        <v>1.39</v>
      </c>
      <c r="I229">
        <v>4538.3500000000004</v>
      </c>
      <c r="J229">
        <v>1.03</v>
      </c>
      <c r="K229">
        <v>3362.95</v>
      </c>
      <c r="L229">
        <v>1175.4000000000001</v>
      </c>
    </row>
    <row r="230" spans="1:12" x14ac:dyDescent="0.25">
      <c r="A230">
        <v>229</v>
      </c>
      <c r="B230" t="s">
        <v>189</v>
      </c>
      <c r="C230" t="s">
        <v>363</v>
      </c>
      <c r="D230" t="s">
        <v>367</v>
      </c>
      <c r="E230" t="s">
        <v>431</v>
      </c>
      <c r="F230" t="s">
        <v>479</v>
      </c>
      <c r="G230">
        <v>2668</v>
      </c>
      <c r="H230">
        <v>1.26</v>
      </c>
      <c r="I230">
        <v>3361.68</v>
      </c>
      <c r="J230">
        <v>1</v>
      </c>
      <c r="K230">
        <v>2668</v>
      </c>
      <c r="L230">
        <v>693.68</v>
      </c>
    </row>
    <row r="231" spans="1:12" x14ac:dyDescent="0.25">
      <c r="A231">
        <v>230</v>
      </c>
      <c r="B231" t="s">
        <v>190</v>
      </c>
      <c r="C231" t="s">
        <v>364</v>
      </c>
      <c r="D231" t="s">
        <v>367</v>
      </c>
      <c r="E231" t="s">
        <v>384</v>
      </c>
      <c r="F231" t="s">
        <v>476</v>
      </c>
      <c r="G231">
        <v>2872</v>
      </c>
      <c r="H231">
        <v>1.25</v>
      </c>
      <c r="I231">
        <v>3590</v>
      </c>
      <c r="J231">
        <v>0.84</v>
      </c>
      <c r="K231">
        <v>2412.48</v>
      </c>
      <c r="L231">
        <v>1177.52</v>
      </c>
    </row>
    <row r="232" spans="1:12" x14ac:dyDescent="0.25">
      <c r="A232">
        <v>231</v>
      </c>
      <c r="B232" t="s">
        <v>46</v>
      </c>
      <c r="C232" t="s">
        <v>365</v>
      </c>
      <c r="D232" t="s">
        <v>369</v>
      </c>
      <c r="E232" t="s">
        <v>378</v>
      </c>
      <c r="F232" t="s">
        <v>486</v>
      </c>
      <c r="G232">
        <v>990</v>
      </c>
      <c r="H232">
        <v>0.91</v>
      </c>
      <c r="I232">
        <v>900.9</v>
      </c>
      <c r="J232">
        <v>0.64</v>
      </c>
      <c r="K232">
        <v>633.6</v>
      </c>
      <c r="L232">
        <v>267.3</v>
      </c>
    </row>
    <row r="233" spans="1:12" x14ac:dyDescent="0.25">
      <c r="A233">
        <v>232</v>
      </c>
      <c r="B233" t="s">
        <v>191</v>
      </c>
      <c r="C233" t="s">
        <v>365</v>
      </c>
      <c r="D233" t="s">
        <v>368</v>
      </c>
      <c r="E233" t="s">
        <v>444</v>
      </c>
      <c r="F233" t="s">
        <v>474</v>
      </c>
      <c r="G233">
        <v>3060</v>
      </c>
      <c r="H233">
        <v>1.4</v>
      </c>
      <c r="I233">
        <v>4284</v>
      </c>
      <c r="J233">
        <v>0.95</v>
      </c>
      <c r="K233">
        <v>2907</v>
      </c>
      <c r="L233">
        <v>1377</v>
      </c>
    </row>
    <row r="234" spans="1:12" x14ac:dyDescent="0.25">
      <c r="A234">
        <v>233</v>
      </c>
      <c r="B234" t="s">
        <v>192</v>
      </c>
      <c r="C234" t="s">
        <v>366</v>
      </c>
      <c r="D234" t="s">
        <v>369</v>
      </c>
      <c r="E234" t="s">
        <v>424</v>
      </c>
      <c r="F234" t="s">
        <v>475</v>
      </c>
      <c r="G234">
        <v>4718</v>
      </c>
      <c r="H234">
        <v>1.19</v>
      </c>
      <c r="I234">
        <v>5614.42</v>
      </c>
      <c r="J234">
        <v>0.81</v>
      </c>
      <c r="K234">
        <v>3821.58</v>
      </c>
      <c r="L234">
        <v>1792.84</v>
      </c>
    </row>
    <row r="235" spans="1:12" x14ac:dyDescent="0.25">
      <c r="A235">
        <v>234</v>
      </c>
      <c r="B235" t="s">
        <v>122</v>
      </c>
      <c r="C235" t="s">
        <v>365</v>
      </c>
      <c r="D235" t="s">
        <v>367</v>
      </c>
      <c r="E235" t="s">
        <v>434</v>
      </c>
      <c r="F235" t="s">
        <v>477</v>
      </c>
      <c r="G235">
        <v>1654</v>
      </c>
      <c r="H235">
        <v>0.87</v>
      </c>
      <c r="I235">
        <v>1438.98</v>
      </c>
      <c r="J235">
        <v>0.59</v>
      </c>
      <c r="K235">
        <v>975.86</v>
      </c>
      <c r="L235">
        <v>463.12</v>
      </c>
    </row>
    <row r="236" spans="1:12" x14ac:dyDescent="0.25">
      <c r="A236">
        <v>235</v>
      </c>
      <c r="B236" t="s">
        <v>179</v>
      </c>
      <c r="C236" t="s">
        <v>366</v>
      </c>
      <c r="D236" t="s">
        <v>369</v>
      </c>
      <c r="E236" t="s">
        <v>406</v>
      </c>
      <c r="F236" t="s">
        <v>487</v>
      </c>
      <c r="G236">
        <v>3061</v>
      </c>
      <c r="H236">
        <v>0.93</v>
      </c>
      <c r="I236">
        <v>2846.73</v>
      </c>
      <c r="J236">
        <v>0.6</v>
      </c>
      <c r="K236">
        <v>1836.6</v>
      </c>
      <c r="L236">
        <v>1010.13</v>
      </c>
    </row>
    <row r="237" spans="1:12" x14ac:dyDescent="0.25">
      <c r="A237">
        <v>236</v>
      </c>
      <c r="B237" t="s">
        <v>193</v>
      </c>
      <c r="C237" t="s">
        <v>364</v>
      </c>
      <c r="D237" t="s">
        <v>369</v>
      </c>
      <c r="E237" t="s">
        <v>428</v>
      </c>
      <c r="F237" t="s">
        <v>483</v>
      </c>
      <c r="G237">
        <v>689</v>
      </c>
      <c r="H237">
        <v>0.86</v>
      </c>
      <c r="I237">
        <v>592.54</v>
      </c>
      <c r="J237">
        <v>0.6</v>
      </c>
      <c r="K237">
        <v>413.4</v>
      </c>
      <c r="L237">
        <v>179.14</v>
      </c>
    </row>
    <row r="238" spans="1:12" x14ac:dyDescent="0.25">
      <c r="A238">
        <v>237</v>
      </c>
      <c r="B238" t="s">
        <v>172</v>
      </c>
      <c r="C238" t="s">
        <v>366</v>
      </c>
      <c r="D238" t="s">
        <v>368</v>
      </c>
      <c r="E238" t="s">
        <v>461</v>
      </c>
      <c r="F238" t="s">
        <v>475</v>
      </c>
      <c r="G238">
        <v>898</v>
      </c>
      <c r="H238">
        <v>0.84</v>
      </c>
      <c r="I238">
        <v>754.32</v>
      </c>
      <c r="J238">
        <v>0.61</v>
      </c>
      <c r="K238">
        <v>547.78</v>
      </c>
      <c r="L238">
        <v>206.54</v>
      </c>
    </row>
    <row r="239" spans="1:12" x14ac:dyDescent="0.25">
      <c r="A239">
        <v>238</v>
      </c>
      <c r="B239" t="s">
        <v>47</v>
      </c>
      <c r="C239" t="s">
        <v>365</v>
      </c>
      <c r="D239" t="s">
        <v>369</v>
      </c>
      <c r="E239" t="s">
        <v>379</v>
      </c>
      <c r="F239" t="s">
        <v>472</v>
      </c>
      <c r="G239">
        <v>1380</v>
      </c>
      <c r="H239">
        <v>1.1000000000000001</v>
      </c>
      <c r="I239">
        <v>1518</v>
      </c>
      <c r="J239">
        <v>0.9</v>
      </c>
      <c r="K239">
        <v>1242</v>
      </c>
      <c r="L239">
        <v>276</v>
      </c>
    </row>
    <row r="240" spans="1:12" x14ac:dyDescent="0.25">
      <c r="A240">
        <v>239</v>
      </c>
      <c r="B240" t="s">
        <v>127</v>
      </c>
      <c r="C240" t="s">
        <v>365</v>
      </c>
      <c r="D240" t="s">
        <v>369</v>
      </c>
      <c r="E240" t="s">
        <v>377</v>
      </c>
      <c r="F240" t="s">
        <v>484</v>
      </c>
      <c r="G240">
        <v>919</v>
      </c>
      <c r="H240">
        <v>1.2</v>
      </c>
      <c r="I240">
        <v>1102.8</v>
      </c>
      <c r="J240">
        <v>0.78</v>
      </c>
      <c r="K240">
        <v>716.82</v>
      </c>
      <c r="L240">
        <v>385.98</v>
      </c>
    </row>
    <row r="241" spans="1:12" x14ac:dyDescent="0.25">
      <c r="A241">
        <v>240</v>
      </c>
      <c r="B241" t="s">
        <v>48</v>
      </c>
      <c r="C241" t="s">
        <v>363</v>
      </c>
      <c r="D241" t="s">
        <v>370</v>
      </c>
      <c r="E241" t="s">
        <v>440</v>
      </c>
      <c r="F241" t="s">
        <v>490</v>
      </c>
      <c r="G241">
        <v>4189</v>
      </c>
      <c r="H241">
        <v>1.34</v>
      </c>
      <c r="I241">
        <v>5613.26</v>
      </c>
      <c r="J241">
        <v>0.9</v>
      </c>
      <c r="K241">
        <v>3770.1</v>
      </c>
      <c r="L241">
        <v>1843.16</v>
      </c>
    </row>
    <row r="242" spans="1:12" x14ac:dyDescent="0.25">
      <c r="A242">
        <v>241</v>
      </c>
      <c r="B242" t="s">
        <v>194</v>
      </c>
      <c r="C242" t="s">
        <v>366</v>
      </c>
      <c r="D242" t="s">
        <v>367</v>
      </c>
      <c r="E242" t="s">
        <v>462</v>
      </c>
      <c r="F242" t="s">
        <v>484</v>
      </c>
      <c r="G242">
        <v>3557</v>
      </c>
      <c r="H242">
        <v>1.36</v>
      </c>
      <c r="I242">
        <v>4837.5200000000004</v>
      </c>
      <c r="J242">
        <v>0.93</v>
      </c>
      <c r="K242">
        <v>3308.01</v>
      </c>
      <c r="L242">
        <v>1529.51</v>
      </c>
    </row>
    <row r="243" spans="1:12" x14ac:dyDescent="0.25">
      <c r="A243">
        <v>242</v>
      </c>
      <c r="B243" t="s">
        <v>127</v>
      </c>
      <c r="C243" t="s">
        <v>366</v>
      </c>
      <c r="D243" t="s">
        <v>368</v>
      </c>
      <c r="E243" t="s">
        <v>444</v>
      </c>
      <c r="F243" t="s">
        <v>490</v>
      </c>
      <c r="G243">
        <v>3788</v>
      </c>
      <c r="H243">
        <v>1.1499999999999999</v>
      </c>
      <c r="I243">
        <v>4356.2</v>
      </c>
      <c r="J243">
        <v>0.7</v>
      </c>
      <c r="K243">
        <v>2651.6</v>
      </c>
      <c r="L243">
        <v>1704.6</v>
      </c>
    </row>
    <row r="244" spans="1:12" x14ac:dyDescent="0.25">
      <c r="A244">
        <v>243</v>
      </c>
      <c r="B244" t="s">
        <v>195</v>
      </c>
      <c r="C244" t="s">
        <v>364</v>
      </c>
      <c r="D244" t="s">
        <v>370</v>
      </c>
      <c r="E244" t="s">
        <v>430</v>
      </c>
      <c r="F244" t="s">
        <v>473</v>
      </c>
      <c r="G244">
        <v>1720</v>
      </c>
      <c r="H244">
        <v>1.22</v>
      </c>
      <c r="I244">
        <v>2098.4</v>
      </c>
      <c r="J244">
        <v>0.89</v>
      </c>
      <c r="K244">
        <v>1530.8</v>
      </c>
      <c r="L244">
        <v>567.6</v>
      </c>
    </row>
    <row r="245" spans="1:12" x14ac:dyDescent="0.25">
      <c r="A245">
        <v>244</v>
      </c>
      <c r="B245" t="s">
        <v>196</v>
      </c>
      <c r="C245" t="s">
        <v>366</v>
      </c>
      <c r="D245" t="s">
        <v>370</v>
      </c>
      <c r="E245" t="s">
        <v>455</v>
      </c>
      <c r="F245" t="s">
        <v>489</v>
      </c>
      <c r="G245">
        <v>2951</v>
      </c>
      <c r="H245">
        <v>1.22</v>
      </c>
      <c r="I245">
        <v>3600.22</v>
      </c>
      <c r="J245">
        <v>0.89</v>
      </c>
      <c r="K245">
        <v>2626.39</v>
      </c>
      <c r="L245">
        <v>973.83</v>
      </c>
    </row>
    <row r="246" spans="1:12" x14ac:dyDescent="0.25">
      <c r="A246">
        <v>245</v>
      </c>
      <c r="B246" t="s">
        <v>197</v>
      </c>
      <c r="C246" t="s">
        <v>365</v>
      </c>
      <c r="D246" t="s">
        <v>369</v>
      </c>
      <c r="E246" t="s">
        <v>393</v>
      </c>
      <c r="F246" t="s">
        <v>472</v>
      </c>
      <c r="G246">
        <v>3517</v>
      </c>
      <c r="H246">
        <v>1.03</v>
      </c>
      <c r="I246">
        <v>3622.51</v>
      </c>
      <c r="J246">
        <v>0.65</v>
      </c>
      <c r="K246">
        <v>2286.0500000000002</v>
      </c>
      <c r="L246">
        <v>1336.46</v>
      </c>
    </row>
    <row r="247" spans="1:12" x14ac:dyDescent="0.25">
      <c r="A247">
        <v>246</v>
      </c>
      <c r="B247" t="s">
        <v>190</v>
      </c>
      <c r="C247" t="s">
        <v>363</v>
      </c>
      <c r="D247" t="s">
        <v>370</v>
      </c>
      <c r="E247" t="s">
        <v>448</v>
      </c>
      <c r="F247" t="s">
        <v>483</v>
      </c>
      <c r="G247">
        <v>2675</v>
      </c>
      <c r="H247">
        <v>1.48</v>
      </c>
      <c r="I247">
        <v>3959</v>
      </c>
      <c r="J247">
        <v>1.18</v>
      </c>
      <c r="K247">
        <v>3156.5</v>
      </c>
      <c r="L247">
        <v>802.5</v>
      </c>
    </row>
    <row r="248" spans="1:12" x14ac:dyDescent="0.25">
      <c r="A248">
        <v>247</v>
      </c>
      <c r="B248" t="s">
        <v>198</v>
      </c>
      <c r="C248" t="s">
        <v>363</v>
      </c>
      <c r="D248" t="s">
        <v>368</v>
      </c>
      <c r="E248" t="s">
        <v>461</v>
      </c>
      <c r="F248" t="s">
        <v>483</v>
      </c>
      <c r="G248">
        <v>1896</v>
      </c>
      <c r="H248">
        <v>1.17</v>
      </c>
      <c r="I248">
        <v>2218.3200000000002</v>
      </c>
      <c r="J248">
        <v>0.91</v>
      </c>
      <c r="K248">
        <v>1725.36</v>
      </c>
      <c r="L248">
        <v>492.96</v>
      </c>
    </row>
    <row r="249" spans="1:12" x14ac:dyDescent="0.25">
      <c r="A249">
        <v>248</v>
      </c>
      <c r="B249" t="s">
        <v>79</v>
      </c>
      <c r="C249" t="s">
        <v>366</v>
      </c>
      <c r="D249" t="s">
        <v>368</v>
      </c>
      <c r="E249" t="s">
        <v>372</v>
      </c>
      <c r="F249" t="s">
        <v>479</v>
      </c>
      <c r="G249">
        <v>1400</v>
      </c>
      <c r="H249">
        <v>0.93</v>
      </c>
      <c r="I249">
        <v>1302</v>
      </c>
      <c r="J249">
        <v>0.66</v>
      </c>
      <c r="K249">
        <v>924</v>
      </c>
      <c r="L249">
        <v>378</v>
      </c>
    </row>
    <row r="250" spans="1:12" x14ac:dyDescent="0.25">
      <c r="A250">
        <v>249</v>
      </c>
      <c r="B250" t="s">
        <v>167</v>
      </c>
      <c r="C250" t="s">
        <v>364</v>
      </c>
      <c r="D250" t="s">
        <v>368</v>
      </c>
      <c r="E250" t="s">
        <v>454</v>
      </c>
      <c r="F250" t="s">
        <v>485</v>
      </c>
      <c r="G250">
        <v>3861</v>
      </c>
      <c r="H250">
        <v>1.1499999999999999</v>
      </c>
      <c r="I250">
        <v>4440.1499999999996</v>
      </c>
      <c r="J250">
        <v>0.87</v>
      </c>
      <c r="K250">
        <v>3359.07</v>
      </c>
      <c r="L250">
        <v>1081.08</v>
      </c>
    </row>
    <row r="251" spans="1:12" x14ac:dyDescent="0.25">
      <c r="A251">
        <v>250</v>
      </c>
      <c r="B251" t="s">
        <v>199</v>
      </c>
      <c r="C251" t="s">
        <v>366</v>
      </c>
      <c r="D251" t="s">
        <v>367</v>
      </c>
      <c r="E251" t="s">
        <v>430</v>
      </c>
      <c r="F251" t="s">
        <v>485</v>
      </c>
      <c r="G251">
        <v>3162</v>
      </c>
      <c r="H251">
        <v>1.5</v>
      </c>
      <c r="I251">
        <v>4743</v>
      </c>
      <c r="J251">
        <v>1.08</v>
      </c>
      <c r="K251">
        <v>3414.96</v>
      </c>
      <c r="L251">
        <v>1328.04</v>
      </c>
    </row>
    <row r="252" spans="1:12" x14ac:dyDescent="0.25">
      <c r="A252">
        <v>251</v>
      </c>
      <c r="B252" t="s">
        <v>200</v>
      </c>
      <c r="C252" t="s">
        <v>366</v>
      </c>
      <c r="D252" t="s">
        <v>370</v>
      </c>
      <c r="E252" t="s">
        <v>378</v>
      </c>
      <c r="F252" t="s">
        <v>476</v>
      </c>
      <c r="G252">
        <v>3304</v>
      </c>
      <c r="H252">
        <v>1.18</v>
      </c>
      <c r="I252">
        <v>3898.72</v>
      </c>
      <c r="J252">
        <v>0.91</v>
      </c>
      <c r="K252">
        <v>3006.64</v>
      </c>
      <c r="L252">
        <v>892.08</v>
      </c>
    </row>
    <row r="253" spans="1:12" x14ac:dyDescent="0.25">
      <c r="A253">
        <v>252</v>
      </c>
      <c r="B253" t="s">
        <v>201</v>
      </c>
      <c r="C253" t="s">
        <v>364</v>
      </c>
      <c r="D253" t="s">
        <v>370</v>
      </c>
      <c r="E253" t="s">
        <v>395</v>
      </c>
      <c r="F253" t="s">
        <v>477</v>
      </c>
      <c r="G253">
        <v>2785</v>
      </c>
      <c r="H253">
        <v>1.19</v>
      </c>
      <c r="I253">
        <v>3314.15</v>
      </c>
      <c r="J253">
        <v>0.78</v>
      </c>
      <c r="K253">
        <v>2172.3000000000002</v>
      </c>
      <c r="L253">
        <v>1141.8499999999999</v>
      </c>
    </row>
    <row r="254" spans="1:12" x14ac:dyDescent="0.25">
      <c r="A254">
        <v>253</v>
      </c>
      <c r="B254" t="s">
        <v>76</v>
      </c>
      <c r="C254" t="s">
        <v>366</v>
      </c>
      <c r="D254" t="s">
        <v>370</v>
      </c>
      <c r="E254" t="s">
        <v>454</v>
      </c>
      <c r="F254" t="s">
        <v>483</v>
      </c>
      <c r="G254">
        <v>3097</v>
      </c>
      <c r="H254">
        <v>1.1399999999999999</v>
      </c>
      <c r="I254">
        <v>3530.58</v>
      </c>
      <c r="J254">
        <v>0.84</v>
      </c>
      <c r="K254">
        <v>2601.48</v>
      </c>
      <c r="L254">
        <v>929.1</v>
      </c>
    </row>
    <row r="255" spans="1:12" x14ac:dyDescent="0.25">
      <c r="A255">
        <v>254</v>
      </c>
      <c r="B255" t="s">
        <v>124</v>
      </c>
      <c r="C255" t="s">
        <v>363</v>
      </c>
      <c r="D255" t="s">
        <v>370</v>
      </c>
      <c r="E255" t="s">
        <v>415</v>
      </c>
      <c r="F255" t="s">
        <v>476</v>
      </c>
      <c r="G255">
        <v>3610</v>
      </c>
      <c r="H255">
        <v>1.43</v>
      </c>
      <c r="I255">
        <v>5162.3</v>
      </c>
      <c r="J255">
        <v>1</v>
      </c>
      <c r="K255">
        <v>3610</v>
      </c>
      <c r="L255">
        <v>1552.3</v>
      </c>
    </row>
    <row r="256" spans="1:12" x14ac:dyDescent="0.25">
      <c r="A256">
        <v>255</v>
      </c>
      <c r="B256" t="s">
        <v>192</v>
      </c>
      <c r="C256" t="s">
        <v>365</v>
      </c>
      <c r="D256" t="s">
        <v>368</v>
      </c>
      <c r="E256" t="s">
        <v>377</v>
      </c>
      <c r="F256" t="s">
        <v>482</v>
      </c>
      <c r="G256">
        <v>1147</v>
      </c>
      <c r="H256">
        <v>1.04</v>
      </c>
      <c r="I256">
        <v>1192.8800000000001</v>
      </c>
      <c r="J256">
        <v>0.74</v>
      </c>
      <c r="K256">
        <v>848.78</v>
      </c>
      <c r="L256">
        <v>344.1</v>
      </c>
    </row>
    <row r="257" spans="1:12" x14ac:dyDescent="0.25">
      <c r="A257">
        <v>256</v>
      </c>
      <c r="B257" t="s">
        <v>202</v>
      </c>
      <c r="C257" t="s">
        <v>366</v>
      </c>
      <c r="D257" t="s">
        <v>369</v>
      </c>
      <c r="E257" t="s">
        <v>418</v>
      </c>
      <c r="F257" t="s">
        <v>476</v>
      </c>
      <c r="G257">
        <v>2721</v>
      </c>
      <c r="H257">
        <v>1.45</v>
      </c>
      <c r="I257">
        <v>3945.45</v>
      </c>
      <c r="J257">
        <v>1.1200000000000001</v>
      </c>
      <c r="K257">
        <v>3047.52</v>
      </c>
      <c r="L257">
        <v>897.93</v>
      </c>
    </row>
    <row r="258" spans="1:12" x14ac:dyDescent="0.25">
      <c r="A258">
        <v>257</v>
      </c>
      <c r="B258" t="s">
        <v>195</v>
      </c>
      <c r="C258" t="s">
        <v>366</v>
      </c>
      <c r="D258" t="s">
        <v>367</v>
      </c>
      <c r="E258" t="s">
        <v>391</v>
      </c>
      <c r="F258" t="s">
        <v>478</v>
      </c>
      <c r="G258">
        <v>4850</v>
      </c>
      <c r="H258">
        <v>0.96</v>
      </c>
      <c r="I258">
        <v>4656</v>
      </c>
      <c r="J258">
        <v>0.63</v>
      </c>
      <c r="K258">
        <v>3055.5</v>
      </c>
      <c r="L258">
        <v>1600.5</v>
      </c>
    </row>
    <row r="259" spans="1:12" x14ac:dyDescent="0.25">
      <c r="A259">
        <v>258</v>
      </c>
      <c r="B259" t="s">
        <v>19</v>
      </c>
      <c r="C259" t="s">
        <v>365</v>
      </c>
      <c r="D259" t="s">
        <v>369</v>
      </c>
      <c r="E259" t="s">
        <v>390</v>
      </c>
      <c r="F259" t="s">
        <v>483</v>
      </c>
      <c r="G259">
        <v>1323</v>
      </c>
      <c r="H259">
        <v>1.28</v>
      </c>
      <c r="I259">
        <v>1693.44</v>
      </c>
      <c r="J259">
        <v>0.81</v>
      </c>
      <c r="K259">
        <v>1071.6300000000001</v>
      </c>
      <c r="L259">
        <v>621.80999999999995</v>
      </c>
    </row>
    <row r="260" spans="1:12" x14ac:dyDescent="0.25">
      <c r="A260">
        <v>259</v>
      </c>
      <c r="B260" t="s">
        <v>107</v>
      </c>
      <c r="C260" t="s">
        <v>364</v>
      </c>
      <c r="D260" t="s">
        <v>368</v>
      </c>
      <c r="E260" t="s">
        <v>420</v>
      </c>
      <c r="F260" t="s">
        <v>483</v>
      </c>
      <c r="G260">
        <v>4411</v>
      </c>
      <c r="H260">
        <v>1.26</v>
      </c>
      <c r="I260">
        <v>5557.86</v>
      </c>
      <c r="J260">
        <v>0.99</v>
      </c>
      <c r="K260">
        <v>4366.8900000000003</v>
      </c>
      <c r="L260">
        <v>1190.97</v>
      </c>
    </row>
    <row r="261" spans="1:12" x14ac:dyDescent="0.25">
      <c r="A261">
        <v>260</v>
      </c>
      <c r="B261" t="s">
        <v>203</v>
      </c>
      <c r="C261" t="s">
        <v>365</v>
      </c>
      <c r="D261" t="s">
        <v>370</v>
      </c>
      <c r="E261" t="s">
        <v>431</v>
      </c>
      <c r="F261" t="s">
        <v>478</v>
      </c>
      <c r="G261">
        <v>1232</v>
      </c>
      <c r="H261">
        <v>1.26</v>
      </c>
      <c r="I261">
        <v>1552.32</v>
      </c>
      <c r="J261">
        <v>0.83</v>
      </c>
      <c r="K261">
        <v>1022.56</v>
      </c>
      <c r="L261">
        <v>529.76</v>
      </c>
    </row>
    <row r="262" spans="1:12" x14ac:dyDescent="0.25">
      <c r="A262">
        <v>261</v>
      </c>
      <c r="B262" t="s">
        <v>204</v>
      </c>
      <c r="C262" t="s">
        <v>364</v>
      </c>
      <c r="D262" t="s">
        <v>368</v>
      </c>
      <c r="E262" t="s">
        <v>445</v>
      </c>
      <c r="F262" t="s">
        <v>478</v>
      </c>
      <c r="G262">
        <v>3752</v>
      </c>
      <c r="H262">
        <v>1.35</v>
      </c>
      <c r="I262">
        <v>5065.2</v>
      </c>
      <c r="J262">
        <v>0.87</v>
      </c>
      <c r="K262">
        <v>3264.24</v>
      </c>
      <c r="L262">
        <v>1800.96</v>
      </c>
    </row>
    <row r="263" spans="1:12" x14ac:dyDescent="0.25">
      <c r="A263">
        <v>262</v>
      </c>
      <c r="B263" t="s">
        <v>183</v>
      </c>
      <c r="C263" t="s">
        <v>363</v>
      </c>
      <c r="D263" t="s">
        <v>367</v>
      </c>
      <c r="E263" t="s">
        <v>443</v>
      </c>
      <c r="F263" t="s">
        <v>479</v>
      </c>
      <c r="G263">
        <v>1379</v>
      </c>
      <c r="H263">
        <v>1.45</v>
      </c>
      <c r="I263">
        <v>1999.55</v>
      </c>
      <c r="J263">
        <v>0.99</v>
      </c>
      <c r="K263">
        <v>1365.21</v>
      </c>
      <c r="L263">
        <v>634.34</v>
      </c>
    </row>
    <row r="264" spans="1:12" x14ac:dyDescent="0.25">
      <c r="A264">
        <v>263</v>
      </c>
      <c r="B264" t="s">
        <v>134</v>
      </c>
      <c r="C264" t="s">
        <v>366</v>
      </c>
      <c r="D264" t="s">
        <v>369</v>
      </c>
      <c r="E264" t="s">
        <v>405</v>
      </c>
      <c r="F264" t="s">
        <v>473</v>
      </c>
      <c r="G264">
        <v>2735</v>
      </c>
      <c r="H264">
        <v>0.93</v>
      </c>
      <c r="I264">
        <v>2543.5500000000002</v>
      </c>
      <c r="J264">
        <v>0.57999999999999996</v>
      </c>
      <c r="K264">
        <v>1586.3</v>
      </c>
      <c r="L264">
        <v>957.25</v>
      </c>
    </row>
    <row r="265" spans="1:12" x14ac:dyDescent="0.25">
      <c r="A265">
        <v>264</v>
      </c>
      <c r="B265" t="s">
        <v>205</v>
      </c>
      <c r="C265" t="s">
        <v>365</v>
      </c>
      <c r="D265" t="s">
        <v>369</v>
      </c>
      <c r="E265" t="s">
        <v>390</v>
      </c>
      <c r="F265" t="s">
        <v>480</v>
      </c>
      <c r="G265">
        <v>615</v>
      </c>
      <c r="H265">
        <v>1.32</v>
      </c>
      <c r="I265">
        <v>811.8</v>
      </c>
      <c r="J265">
        <v>1.05</v>
      </c>
      <c r="K265">
        <v>645.75</v>
      </c>
      <c r="L265">
        <v>166.05</v>
      </c>
    </row>
    <row r="266" spans="1:12" x14ac:dyDescent="0.25">
      <c r="A266">
        <v>265</v>
      </c>
      <c r="B266" t="s">
        <v>206</v>
      </c>
      <c r="C266" t="s">
        <v>366</v>
      </c>
      <c r="D266" t="s">
        <v>368</v>
      </c>
      <c r="E266" t="s">
        <v>422</v>
      </c>
      <c r="F266" t="s">
        <v>484</v>
      </c>
      <c r="G266">
        <v>4003</v>
      </c>
      <c r="H266">
        <v>1.1599999999999999</v>
      </c>
      <c r="I266">
        <v>4643.4799999999996</v>
      </c>
      <c r="J266">
        <v>0.72</v>
      </c>
      <c r="K266">
        <v>2882.16</v>
      </c>
      <c r="L266">
        <v>1761.32</v>
      </c>
    </row>
    <row r="267" spans="1:12" x14ac:dyDescent="0.25">
      <c r="A267">
        <v>266</v>
      </c>
      <c r="B267" t="s">
        <v>207</v>
      </c>
      <c r="C267" t="s">
        <v>366</v>
      </c>
      <c r="D267" t="s">
        <v>367</v>
      </c>
      <c r="E267" t="s">
        <v>457</v>
      </c>
      <c r="F267" t="s">
        <v>483</v>
      </c>
      <c r="G267">
        <v>3150</v>
      </c>
      <c r="H267">
        <v>1.46</v>
      </c>
      <c r="I267">
        <v>4599</v>
      </c>
      <c r="J267">
        <v>0.88</v>
      </c>
      <c r="K267">
        <v>2772</v>
      </c>
      <c r="L267">
        <v>1827</v>
      </c>
    </row>
    <row r="268" spans="1:12" x14ac:dyDescent="0.25">
      <c r="A268">
        <v>267</v>
      </c>
      <c r="B268" t="s">
        <v>179</v>
      </c>
      <c r="C268" t="s">
        <v>364</v>
      </c>
      <c r="D268" t="s">
        <v>368</v>
      </c>
      <c r="E268" t="s">
        <v>463</v>
      </c>
      <c r="F268" t="s">
        <v>471</v>
      </c>
      <c r="G268">
        <v>3200</v>
      </c>
      <c r="H268">
        <v>1.01</v>
      </c>
      <c r="I268">
        <v>3232</v>
      </c>
      <c r="J268">
        <v>0.79</v>
      </c>
      <c r="K268">
        <v>2528</v>
      </c>
      <c r="L268">
        <v>704</v>
      </c>
    </row>
    <row r="269" spans="1:12" x14ac:dyDescent="0.25">
      <c r="A269">
        <v>268</v>
      </c>
      <c r="B269" t="s">
        <v>208</v>
      </c>
      <c r="C269" t="s">
        <v>365</v>
      </c>
      <c r="D269" t="s">
        <v>370</v>
      </c>
      <c r="E269" t="s">
        <v>454</v>
      </c>
      <c r="F269" t="s">
        <v>477</v>
      </c>
      <c r="G269">
        <v>1008</v>
      </c>
      <c r="H269">
        <v>1.27</v>
      </c>
      <c r="I269">
        <v>1280.1600000000001</v>
      </c>
      <c r="J269">
        <v>0.91</v>
      </c>
      <c r="K269">
        <v>917.28</v>
      </c>
      <c r="L269">
        <v>362.88</v>
      </c>
    </row>
    <row r="270" spans="1:12" x14ac:dyDescent="0.25">
      <c r="A270">
        <v>269</v>
      </c>
      <c r="B270" t="s">
        <v>15</v>
      </c>
      <c r="C270" t="s">
        <v>365</v>
      </c>
      <c r="D270" t="s">
        <v>369</v>
      </c>
      <c r="E270" t="s">
        <v>454</v>
      </c>
      <c r="F270" t="s">
        <v>488</v>
      </c>
      <c r="G270">
        <v>2916</v>
      </c>
      <c r="H270">
        <v>1.06</v>
      </c>
      <c r="I270">
        <v>3090.96</v>
      </c>
      <c r="J270">
        <v>0.69</v>
      </c>
      <c r="K270">
        <v>2012.04</v>
      </c>
      <c r="L270">
        <v>1078.92</v>
      </c>
    </row>
    <row r="271" spans="1:12" x14ac:dyDescent="0.25">
      <c r="A271">
        <v>270</v>
      </c>
      <c r="B271" t="s">
        <v>209</v>
      </c>
      <c r="C271" t="s">
        <v>366</v>
      </c>
      <c r="D271" t="s">
        <v>369</v>
      </c>
      <c r="E271" t="s">
        <v>378</v>
      </c>
      <c r="F271" t="s">
        <v>489</v>
      </c>
      <c r="G271">
        <v>3560</v>
      </c>
      <c r="H271">
        <v>1.0900000000000001</v>
      </c>
      <c r="I271">
        <v>3880.4</v>
      </c>
      <c r="J271">
        <v>0.8</v>
      </c>
      <c r="K271">
        <v>2848</v>
      </c>
      <c r="L271">
        <v>1032.4000000000001</v>
      </c>
    </row>
    <row r="272" spans="1:12" x14ac:dyDescent="0.25">
      <c r="A272">
        <v>271</v>
      </c>
      <c r="B272" t="s">
        <v>199</v>
      </c>
      <c r="C272" t="s">
        <v>366</v>
      </c>
      <c r="D272" t="s">
        <v>368</v>
      </c>
      <c r="E272" t="s">
        <v>411</v>
      </c>
      <c r="F272" t="s">
        <v>489</v>
      </c>
      <c r="G272">
        <v>1170</v>
      </c>
      <c r="H272">
        <v>1.17</v>
      </c>
      <c r="I272">
        <v>1368.9</v>
      </c>
      <c r="J272">
        <v>0.86</v>
      </c>
      <c r="K272">
        <v>1006.2</v>
      </c>
      <c r="L272">
        <v>362.7</v>
      </c>
    </row>
    <row r="273" spans="1:12" x14ac:dyDescent="0.25">
      <c r="A273">
        <v>272</v>
      </c>
      <c r="B273" t="s">
        <v>18</v>
      </c>
      <c r="C273" t="s">
        <v>363</v>
      </c>
      <c r="D273" t="s">
        <v>367</v>
      </c>
      <c r="E273" t="s">
        <v>400</v>
      </c>
      <c r="F273" t="s">
        <v>476</v>
      </c>
      <c r="G273">
        <v>4640</v>
      </c>
      <c r="H273">
        <v>0.94</v>
      </c>
      <c r="I273">
        <v>4361.6000000000004</v>
      </c>
      <c r="J273">
        <v>0.69</v>
      </c>
      <c r="K273">
        <v>3201.6</v>
      </c>
      <c r="L273">
        <v>1160</v>
      </c>
    </row>
    <row r="274" spans="1:12" x14ac:dyDescent="0.25">
      <c r="A274">
        <v>273</v>
      </c>
      <c r="B274" t="s">
        <v>159</v>
      </c>
      <c r="C274" t="s">
        <v>364</v>
      </c>
      <c r="D274" t="s">
        <v>370</v>
      </c>
      <c r="E274" t="s">
        <v>409</v>
      </c>
      <c r="F274" t="s">
        <v>485</v>
      </c>
      <c r="G274">
        <v>4504</v>
      </c>
      <c r="H274">
        <v>0.86</v>
      </c>
      <c r="I274">
        <v>3873.44</v>
      </c>
      <c r="J274">
        <v>0.63</v>
      </c>
      <c r="K274">
        <v>2837.52</v>
      </c>
      <c r="L274">
        <v>1035.92</v>
      </c>
    </row>
    <row r="275" spans="1:12" x14ac:dyDescent="0.25">
      <c r="A275">
        <v>274</v>
      </c>
      <c r="B275" t="s">
        <v>210</v>
      </c>
      <c r="C275" t="s">
        <v>366</v>
      </c>
      <c r="D275" t="s">
        <v>369</v>
      </c>
      <c r="E275" t="s">
        <v>417</v>
      </c>
      <c r="F275" t="s">
        <v>481</v>
      </c>
      <c r="G275">
        <v>4242</v>
      </c>
      <c r="H275">
        <v>1.19</v>
      </c>
      <c r="I275">
        <v>5047.9799999999996</v>
      </c>
      <c r="J275">
        <v>0.88</v>
      </c>
      <c r="K275">
        <v>3732.96</v>
      </c>
      <c r="L275">
        <v>1315.02</v>
      </c>
    </row>
    <row r="276" spans="1:12" x14ac:dyDescent="0.25">
      <c r="A276">
        <v>275</v>
      </c>
      <c r="B276" t="s">
        <v>129</v>
      </c>
      <c r="C276" t="s">
        <v>363</v>
      </c>
      <c r="D276" t="s">
        <v>370</v>
      </c>
      <c r="E276" t="s">
        <v>455</v>
      </c>
      <c r="F276" t="s">
        <v>471</v>
      </c>
      <c r="G276">
        <v>524</v>
      </c>
      <c r="H276">
        <v>1.32</v>
      </c>
      <c r="I276">
        <v>691.68</v>
      </c>
      <c r="J276">
        <v>0.98</v>
      </c>
      <c r="K276">
        <v>513.52</v>
      </c>
      <c r="L276">
        <v>178.16</v>
      </c>
    </row>
    <row r="277" spans="1:12" x14ac:dyDescent="0.25">
      <c r="A277">
        <v>276</v>
      </c>
      <c r="B277" t="s">
        <v>211</v>
      </c>
      <c r="C277" t="s">
        <v>365</v>
      </c>
      <c r="D277" t="s">
        <v>369</v>
      </c>
      <c r="E277" t="s">
        <v>429</v>
      </c>
      <c r="F277" t="s">
        <v>486</v>
      </c>
      <c r="G277">
        <v>4933</v>
      </c>
      <c r="H277">
        <v>1.5</v>
      </c>
      <c r="I277">
        <v>7399.5</v>
      </c>
      <c r="J277">
        <v>1.25</v>
      </c>
      <c r="K277">
        <v>6166.25</v>
      </c>
      <c r="L277">
        <v>1233.25</v>
      </c>
    </row>
    <row r="278" spans="1:12" x14ac:dyDescent="0.25">
      <c r="A278">
        <v>277</v>
      </c>
      <c r="B278" t="s">
        <v>29</v>
      </c>
      <c r="C278" t="s">
        <v>363</v>
      </c>
      <c r="D278" t="s">
        <v>369</v>
      </c>
      <c r="E278" t="s">
        <v>407</v>
      </c>
      <c r="F278" t="s">
        <v>481</v>
      </c>
      <c r="G278">
        <v>1974</v>
      </c>
      <c r="H278">
        <v>1.34</v>
      </c>
      <c r="I278">
        <v>2645.16</v>
      </c>
      <c r="J278">
        <v>1.06</v>
      </c>
      <c r="K278">
        <v>2092.44</v>
      </c>
      <c r="L278">
        <v>552.72</v>
      </c>
    </row>
    <row r="279" spans="1:12" x14ac:dyDescent="0.25">
      <c r="A279">
        <v>278</v>
      </c>
      <c r="B279" t="s">
        <v>45</v>
      </c>
      <c r="C279" t="s">
        <v>365</v>
      </c>
      <c r="D279" t="s">
        <v>369</v>
      </c>
      <c r="E279" t="s">
        <v>464</v>
      </c>
      <c r="F279" t="s">
        <v>473</v>
      </c>
      <c r="G279">
        <v>3592</v>
      </c>
      <c r="H279">
        <v>1.06</v>
      </c>
      <c r="I279">
        <v>3807.52</v>
      </c>
      <c r="J279">
        <v>0.82</v>
      </c>
      <c r="K279">
        <v>2945.44</v>
      </c>
      <c r="L279">
        <v>862.08</v>
      </c>
    </row>
    <row r="280" spans="1:12" x14ac:dyDescent="0.25">
      <c r="A280">
        <v>279</v>
      </c>
      <c r="B280" t="s">
        <v>102</v>
      </c>
      <c r="C280" t="s">
        <v>365</v>
      </c>
      <c r="D280" t="s">
        <v>368</v>
      </c>
      <c r="E280" t="s">
        <v>459</v>
      </c>
      <c r="F280" t="s">
        <v>480</v>
      </c>
      <c r="G280">
        <v>4901</v>
      </c>
      <c r="H280">
        <v>1.08</v>
      </c>
      <c r="I280">
        <v>5293.08</v>
      </c>
      <c r="J280">
        <v>0.68</v>
      </c>
      <c r="K280">
        <v>3332.68</v>
      </c>
      <c r="L280">
        <v>1960.4</v>
      </c>
    </row>
    <row r="281" spans="1:12" x14ac:dyDescent="0.25">
      <c r="A281">
        <v>280</v>
      </c>
      <c r="B281" t="s">
        <v>57</v>
      </c>
      <c r="C281" t="s">
        <v>363</v>
      </c>
      <c r="D281" t="s">
        <v>367</v>
      </c>
      <c r="E281" t="s">
        <v>443</v>
      </c>
      <c r="F281" t="s">
        <v>473</v>
      </c>
      <c r="G281">
        <v>4960</v>
      </c>
      <c r="H281">
        <v>1.1000000000000001</v>
      </c>
      <c r="I281">
        <v>5456</v>
      </c>
      <c r="J281">
        <v>0.76</v>
      </c>
      <c r="K281">
        <v>3769.6</v>
      </c>
      <c r="L281">
        <v>1686.4</v>
      </c>
    </row>
    <row r="282" spans="1:12" x14ac:dyDescent="0.25">
      <c r="A282">
        <v>281</v>
      </c>
      <c r="B282" t="s">
        <v>32</v>
      </c>
      <c r="C282" t="s">
        <v>364</v>
      </c>
      <c r="D282" t="s">
        <v>368</v>
      </c>
      <c r="E282" t="s">
        <v>452</v>
      </c>
      <c r="F282" t="s">
        <v>474</v>
      </c>
      <c r="G282">
        <v>2758</v>
      </c>
      <c r="H282">
        <v>0.93</v>
      </c>
      <c r="I282">
        <v>2564.94</v>
      </c>
      <c r="J282">
        <v>0.76</v>
      </c>
      <c r="K282">
        <v>2096.08</v>
      </c>
      <c r="L282">
        <v>468.86</v>
      </c>
    </row>
    <row r="283" spans="1:12" x14ac:dyDescent="0.25">
      <c r="A283">
        <v>282</v>
      </c>
      <c r="B283" t="s">
        <v>212</v>
      </c>
      <c r="C283" t="s">
        <v>364</v>
      </c>
      <c r="D283" t="s">
        <v>367</v>
      </c>
      <c r="E283" t="s">
        <v>422</v>
      </c>
      <c r="F283" t="s">
        <v>472</v>
      </c>
      <c r="G283">
        <v>2471</v>
      </c>
      <c r="H283">
        <v>0.94</v>
      </c>
      <c r="I283">
        <v>2322.7399999999998</v>
      </c>
      <c r="J283">
        <v>0.59</v>
      </c>
      <c r="K283">
        <v>1457.89</v>
      </c>
      <c r="L283">
        <v>864.85</v>
      </c>
    </row>
    <row r="284" spans="1:12" x14ac:dyDescent="0.25">
      <c r="A284">
        <v>283</v>
      </c>
      <c r="B284" t="s">
        <v>213</v>
      </c>
      <c r="C284" t="s">
        <v>363</v>
      </c>
      <c r="D284" t="s">
        <v>369</v>
      </c>
      <c r="E284" t="s">
        <v>391</v>
      </c>
      <c r="F284" t="s">
        <v>478</v>
      </c>
      <c r="G284">
        <v>3795</v>
      </c>
      <c r="H284">
        <v>1.1100000000000001</v>
      </c>
      <c r="I284">
        <v>4212.45</v>
      </c>
      <c r="J284">
        <v>0.82</v>
      </c>
      <c r="K284">
        <v>3111.9</v>
      </c>
      <c r="L284">
        <v>1100.55</v>
      </c>
    </row>
    <row r="285" spans="1:12" x14ac:dyDescent="0.25">
      <c r="A285">
        <v>284</v>
      </c>
      <c r="B285" t="s">
        <v>210</v>
      </c>
      <c r="C285" t="s">
        <v>365</v>
      </c>
      <c r="D285" t="s">
        <v>368</v>
      </c>
      <c r="E285" t="s">
        <v>465</v>
      </c>
      <c r="F285" t="s">
        <v>479</v>
      </c>
      <c r="G285">
        <v>3112</v>
      </c>
      <c r="H285">
        <v>1.2</v>
      </c>
      <c r="I285">
        <v>3734.4</v>
      </c>
      <c r="J285">
        <v>0.95</v>
      </c>
      <c r="K285">
        <v>2956.4</v>
      </c>
      <c r="L285">
        <v>778</v>
      </c>
    </row>
    <row r="286" spans="1:12" x14ac:dyDescent="0.25">
      <c r="A286">
        <v>285</v>
      </c>
      <c r="B286" t="s">
        <v>65</v>
      </c>
      <c r="C286" t="s">
        <v>365</v>
      </c>
      <c r="D286" t="s">
        <v>368</v>
      </c>
      <c r="E286" t="s">
        <v>446</v>
      </c>
      <c r="F286" t="s">
        <v>490</v>
      </c>
      <c r="G286">
        <v>2310</v>
      </c>
      <c r="H286">
        <v>1.0900000000000001</v>
      </c>
      <c r="I286">
        <v>2517.9</v>
      </c>
      <c r="J286">
        <v>0.73</v>
      </c>
      <c r="K286">
        <v>1686.3</v>
      </c>
      <c r="L286">
        <v>831.6</v>
      </c>
    </row>
    <row r="287" spans="1:12" x14ac:dyDescent="0.25">
      <c r="A287">
        <v>286</v>
      </c>
      <c r="B287" t="s">
        <v>99</v>
      </c>
      <c r="C287" t="s">
        <v>364</v>
      </c>
      <c r="D287" t="s">
        <v>368</v>
      </c>
      <c r="E287" t="s">
        <v>421</v>
      </c>
      <c r="F287" t="s">
        <v>483</v>
      </c>
      <c r="G287">
        <v>884</v>
      </c>
      <c r="H287">
        <v>1.48</v>
      </c>
      <c r="I287">
        <v>1308.32</v>
      </c>
      <c r="J287">
        <v>1.24</v>
      </c>
      <c r="K287">
        <v>1096.1600000000001</v>
      </c>
      <c r="L287">
        <v>212.16</v>
      </c>
    </row>
    <row r="288" spans="1:12" x14ac:dyDescent="0.25">
      <c r="A288">
        <v>287</v>
      </c>
      <c r="B288" t="s">
        <v>214</v>
      </c>
      <c r="C288" t="s">
        <v>365</v>
      </c>
      <c r="D288" t="s">
        <v>369</v>
      </c>
      <c r="E288" t="s">
        <v>429</v>
      </c>
      <c r="F288" t="s">
        <v>481</v>
      </c>
      <c r="G288">
        <v>3844</v>
      </c>
      <c r="H288">
        <v>0.9</v>
      </c>
      <c r="I288">
        <v>3459.6</v>
      </c>
      <c r="J288">
        <v>0.62</v>
      </c>
      <c r="K288">
        <v>2383.2800000000002</v>
      </c>
      <c r="L288">
        <v>1076.32</v>
      </c>
    </row>
    <row r="289" spans="1:12" x14ac:dyDescent="0.25">
      <c r="A289">
        <v>288</v>
      </c>
      <c r="B289" t="s">
        <v>215</v>
      </c>
      <c r="C289" t="s">
        <v>366</v>
      </c>
      <c r="D289" t="s">
        <v>369</v>
      </c>
      <c r="E289" t="s">
        <v>373</v>
      </c>
      <c r="F289" t="s">
        <v>482</v>
      </c>
      <c r="G289">
        <v>1682</v>
      </c>
      <c r="H289">
        <v>1.36</v>
      </c>
      <c r="I289">
        <v>2287.52</v>
      </c>
      <c r="J289">
        <v>1.1299999999999999</v>
      </c>
      <c r="K289">
        <v>1900.66</v>
      </c>
      <c r="L289">
        <v>386.86</v>
      </c>
    </row>
    <row r="290" spans="1:12" x14ac:dyDescent="0.25">
      <c r="A290">
        <v>289</v>
      </c>
      <c r="B290" t="s">
        <v>216</v>
      </c>
      <c r="C290" t="s">
        <v>364</v>
      </c>
      <c r="D290" t="s">
        <v>369</v>
      </c>
      <c r="E290" t="s">
        <v>421</v>
      </c>
      <c r="F290" t="s">
        <v>490</v>
      </c>
      <c r="G290">
        <v>1598</v>
      </c>
      <c r="H290">
        <v>1.07</v>
      </c>
      <c r="I290">
        <v>1709.86</v>
      </c>
      <c r="J290">
        <v>0.71</v>
      </c>
      <c r="K290">
        <v>1134.58</v>
      </c>
      <c r="L290">
        <v>575.28</v>
      </c>
    </row>
    <row r="291" spans="1:12" x14ac:dyDescent="0.25">
      <c r="A291">
        <v>290</v>
      </c>
      <c r="B291" t="s">
        <v>33</v>
      </c>
      <c r="C291" t="s">
        <v>364</v>
      </c>
      <c r="D291" t="s">
        <v>367</v>
      </c>
      <c r="E291" t="s">
        <v>466</v>
      </c>
      <c r="F291" t="s">
        <v>486</v>
      </c>
      <c r="G291">
        <v>4887</v>
      </c>
      <c r="H291">
        <v>1.31</v>
      </c>
      <c r="I291">
        <v>6401.97</v>
      </c>
      <c r="J291">
        <v>0.85</v>
      </c>
      <c r="K291">
        <v>4153.95</v>
      </c>
      <c r="L291">
        <v>2248.02</v>
      </c>
    </row>
    <row r="292" spans="1:12" x14ac:dyDescent="0.25">
      <c r="A292">
        <v>291</v>
      </c>
      <c r="B292" t="s">
        <v>217</v>
      </c>
      <c r="C292" t="s">
        <v>363</v>
      </c>
      <c r="D292" t="s">
        <v>369</v>
      </c>
      <c r="E292" t="s">
        <v>392</v>
      </c>
      <c r="F292" t="s">
        <v>485</v>
      </c>
      <c r="G292">
        <v>2277</v>
      </c>
      <c r="H292">
        <v>1.1399999999999999</v>
      </c>
      <c r="I292">
        <v>2595.7800000000002</v>
      </c>
      <c r="J292">
        <v>0.93</v>
      </c>
      <c r="K292">
        <v>2117.61</v>
      </c>
      <c r="L292">
        <v>478.17</v>
      </c>
    </row>
    <row r="293" spans="1:12" x14ac:dyDescent="0.25">
      <c r="A293">
        <v>292</v>
      </c>
      <c r="B293" t="s">
        <v>55</v>
      </c>
      <c r="C293" t="s">
        <v>363</v>
      </c>
      <c r="D293" t="s">
        <v>370</v>
      </c>
      <c r="E293" t="s">
        <v>381</v>
      </c>
      <c r="F293" t="s">
        <v>485</v>
      </c>
      <c r="G293">
        <v>1461</v>
      </c>
      <c r="H293">
        <v>1.32</v>
      </c>
      <c r="I293">
        <v>1928.52</v>
      </c>
      <c r="J293">
        <v>1.04</v>
      </c>
      <c r="K293">
        <v>1519.44</v>
      </c>
      <c r="L293">
        <v>409.08</v>
      </c>
    </row>
    <row r="294" spans="1:12" x14ac:dyDescent="0.25">
      <c r="A294">
        <v>293</v>
      </c>
      <c r="B294" t="s">
        <v>112</v>
      </c>
      <c r="C294" t="s">
        <v>364</v>
      </c>
      <c r="D294" t="s">
        <v>368</v>
      </c>
      <c r="E294" t="s">
        <v>388</v>
      </c>
      <c r="F294" t="s">
        <v>476</v>
      </c>
      <c r="G294">
        <v>3134</v>
      </c>
      <c r="H294">
        <v>1.34</v>
      </c>
      <c r="I294">
        <v>4199.5600000000004</v>
      </c>
      <c r="J294">
        <v>0.93</v>
      </c>
      <c r="K294">
        <v>2914.62</v>
      </c>
      <c r="L294">
        <v>1284.94</v>
      </c>
    </row>
    <row r="295" spans="1:12" x14ac:dyDescent="0.25">
      <c r="A295">
        <v>294</v>
      </c>
      <c r="B295" t="s">
        <v>218</v>
      </c>
      <c r="C295" t="s">
        <v>365</v>
      </c>
      <c r="D295" t="s">
        <v>370</v>
      </c>
      <c r="E295" t="s">
        <v>382</v>
      </c>
      <c r="F295" t="s">
        <v>475</v>
      </c>
      <c r="G295">
        <v>4700</v>
      </c>
      <c r="H295">
        <v>1.42</v>
      </c>
      <c r="I295">
        <v>6674</v>
      </c>
      <c r="J295">
        <v>1.02</v>
      </c>
      <c r="K295">
        <v>4794</v>
      </c>
      <c r="L295">
        <v>1880</v>
      </c>
    </row>
    <row r="296" spans="1:12" x14ac:dyDescent="0.25">
      <c r="A296">
        <v>295</v>
      </c>
      <c r="B296" t="s">
        <v>56</v>
      </c>
      <c r="C296" t="s">
        <v>366</v>
      </c>
      <c r="D296" t="s">
        <v>370</v>
      </c>
      <c r="E296" t="s">
        <v>466</v>
      </c>
      <c r="F296" t="s">
        <v>487</v>
      </c>
      <c r="G296">
        <v>3890</v>
      </c>
      <c r="H296">
        <v>0.83</v>
      </c>
      <c r="I296">
        <v>3228.7</v>
      </c>
      <c r="J296">
        <v>0.68</v>
      </c>
      <c r="K296">
        <v>2645.2</v>
      </c>
      <c r="L296">
        <v>583.5</v>
      </c>
    </row>
    <row r="297" spans="1:12" x14ac:dyDescent="0.25">
      <c r="A297">
        <v>296</v>
      </c>
      <c r="B297" t="s">
        <v>219</v>
      </c>
      <c r="C297" t="s">
        <v>365</v>
      </c>
      <c r="D297" t="s">
        <v>367</v>
      </c>
      <c r="E297" t="s">
        <v>385</v>
      </c>
      <c r="F297" t="s">
        <v>479</v>
      </c>
      <c r="G297">
        <v>3920</v>
      </c>
      <c r="H297">
        <v>1.01</v>
      </c>
      <c r="I297">
        <v>3959.2</v>
      </c>
      <c r="J297">
        <v>0.66</v>
      </c>
      <c r="K297">
        <v>2587.1999999999998</v>
      </c>
      <c r="L297">
        <v>1372</v>
      </c>
    </row>
    <row r="298" spans="1:12" x14ac:dyDescent="0.25">
      <c r="A298">
        <v>297</v>
      </c>
      <c r="B298" t="s">
        <v>32</v>
      </c>
      <c r="C298" t="s">
        <v>366</v>
      </c>
      <c r="D298" t="s">
        <v>369</v>
      </c>
      <c r="E298" t="s">
        <v>460</v>
      </c>
      <c r="F298" t="s">
        <v>476</v>
      </c>
      <c r="G298">
        <v>3265</v>
      </c>
      <c r="H298">
        <v>0.98</v>
      </c>
      <c r="I298">
        <v>3199.7</v>
      </c>
      <c r="J298">
        <v>0.79</v>
      </c>
      <c r="K298">
        <v>2579.35</v>
      </c>
      <c r="L298">
        <v>620.35</v>
      </c>
    </row>
    <row r="299" spans="1:12" x14ac:dyDescent="0.25">
      <c r="A299">
        <v>298</v>
      </c>
      <c r="B299" t="s">
        <v>220</v>
      </c>
      <c r="C299" t="s">
        <v>364</v>
      </c>
      <c r="D299" t="s">
        <v>369</v>
      </c>
      <c r="E299" t="s">
        <v>397</v>
      </c>
      <c r="F299" t="s">
        <v>475</v>
      </c>
      <c r="G299">
        <v>1886</v>
      </c>
      <c r="H299">
        <v>0.9</v>
      </c>
      <c r="I299">
        <v>1697.4</v>
      </c>
      <c r="J299">
        <v>0.66</v>
      </c>
      <c r="K299">
        <v>1244.76</v>
      </c>
      <c r="L299">
        <v>452.64</v>
      </c>
    </row>
    <row r="300" spans="1:12" x14ac:dyDescent="0.25">
      <c r="A300">
        <v>299</v>
      </c>
      <c r="B300" t="s">
        <v>221</v>
      </c>
      <c r="C300" t="s">
        <v>363</v>
      </c>
      <c r="D300" t="s">
        <v>367</v>
      </c>
      <c r="E300" t="s">
        <v>392</v>
      </c>
      <c r="F300" t="s">
        <v>478</v>
      </c>
      <c r="G300">
        <v>552</v>
      </c>
      <c r="H300">
        <v>1.0900000000000001</v>
      </c>
      <c r="I300">
        <v>601.67999999999995</v>
      </c>
      <c r="J300">
        <v>0.88</v>
      </c>
      <c r="K300">
        <v>485.76</v>
      </c>
      <c r="L300">
        <v>115.92</v>
      </c>
    </row>
    <row r="301" spans="1:12" x14ac:dyDescent="0.25">
      <c r="A301">
        <v>300</v>
      </c>
      <c r="B301" t="s">
        <v>222</v>
      </c>
      <c r="C301" t="s">
        <v>366</v>
      </c>
      <c r="D301" t="s">
        <v>367</v>
      </c>
      <c r="E301" t="s">
        <v>447</v>
      </c>
      <c r="F301" t="s">
        <v>485</v>
      </c>
      <c r="G301">
        <v>4642</v>
      </c>
      <c r="H301">
        <v>1.1200000000000001</v>
      </c>
      <c r="I301">
        <v>5199.04</v>
      </c>
      <c r="J301">
        <v>0.69</v>
      </c>
      <c r="K301">
        <v>3202.98</v>
      </c>
      <c r="L301">
        <v>1996.06</v>
      </c>
    </row>
    <row r="302" spans="1:12" x14ac:dyDescent="0.25">
      <c r="A302">
        <v>301</v>
      </c>
      <c r="B302" t="s">
        <v>223</v>
      </c>
      <c r="C302" t="s">
        <v>364</v>
      </c>
      <c r="D302" t="s">
        <v>369</v>
      </c>
      <c r="E302" t="s">
        <v>467</v>
      </c>
      <c r="F302" t="s">
        <v>472</v>
      </c>
      <c r="G302">
        <v>4859</v>
      </c>
      <c r="H302">
        <v>1.19</v>
      </c>
      <c r="I302">
        <v>5782.21</v>
      </c>
      <c r="J302">
        <v>0.72</v>
      </c>
      <c r="K302">
        <v>3498.48</v>
      </c>
      <c r="L302">
        <v>2283.73</v>
      </c>
    </row>
    <row r="303" spans="1:12" x14ac:dyDescent="0.25">
      <c r="A303">
        <v>302</v>
      </c>
      <c r="B303" t="s">
        <v>224</v>
      </c>
      <c r="C303" t="s">
        <v>365</v>
      </c>
      <c r="D303" t="s">
        <v>370</v>
      </c>
      <c r="E303" t="s">
        <v>467</v>
      </c>
      <c r="F303" t="s">
        <v>490</v>
      </c>
      <c r="G303">
        <v>4027</v>
      </c>
      <c r="H303">
        <v>1.36</v>
      </c>
      <c r="I303">
        <v>5476.72</v>
      </c>
      <c r="J303">
        <v>1.1299999999999999</v>
      </c>
      <c r="K303">
        <v>4550.51</v>
      </c>
      <c r="L303">
        <v>926.21</v>
      </c>
    </row>
    <row r="304" spans="1:12" x14ac:dyDescent="0.25">
      <c r="A304">
        <v>303</v>
      </c>
      <c r="B304" t="s">
        <v>225</v>
      </c>
      <c r="C304" t="s">
        <v>366</v>
      </c>
      <c r="D304" t="s">
        <v>367</v>
      </c>
      <c r="E304" t="s">
        <v>388</v>
      </c>
      <c r="F304" t="s">
        <v>485</v>
      </c>
      <c r="G304">
        <v>4812</v>
      </c>
      <c r="H304">
        <v>0.98</v>
      </c>
      <c r="I304">
        <v>4715.76</v>
      </c>
      <c r="J304">
        <v>0.67</v>
      </c>
      <c r="K304">
        <v>3224.04</v>
      </c>
      <c r="L304">
        <v>1491.72</v>
      </c>
    </row>
    <row r="305" spans="1:12" x14ac:dyDescent="0.25">
      <c r="A305">
        <v>304</v>
      </c>
      <c r="B305" t="s">
        <v>226</v>
      </c>
      <c r="C305" t="s">
        <v>365</v>
      </c>
      <c r="D305" t="s">
        <v>367</v>
      </c>
      <c r="E305" t="s">
        <v>413</v>
      </c>
      <c r="F305" t="s">
        <v>473</v>
      </c>
      <c r="G305">
        <v>2492</v>
      </c>
      <c r="H305">
        <v>1.49</v>
      </c>
      <c r="I305">
        <v>3713.08</v>
      </c>
      <c r="J305">
        <v>0.98</v>
      </c>
      <c r="K305">
        <v>2442.16</v>
      </c>
      <c r="L305">
        <v>1270.92</v>
      </c>
    </row>
    <row r="306" spans="1:12" x14ac:dyDescent="0.25">
      <c r="A306">
        <v>305</v>
      </c>
      <c r="B306" t="s">
        <v>171</v>
      </c>
      <c r="C306" t="s">
        <v>363</v>
      </c>
      <c r="D306" t="s">
        <v>367</v>
      </c>
      <c r="E306" t="s">
        <v>437</v>
      </c>
      <c r="F306" t="s">
        <v>484</v>
      </c>
      <c r="G306">
        <v>3606</v>
      </c>
      <c r="H306">
        <v>1.06</v>
      </c>
      <c r="I306">
        <v>3822.36</v>
      </c>
      <c r="J306">
        <v>0.76</v>
      </c>
      <c r="K306">
        <v>2740.56</v>
      </c>
      <c r="L306">
        <v>1081.8</v>
      </c>
    </row>
    <row r="307" spans="1:12" x14ac:dyDescent="0.25">
      <c r="A307">
        <v>306</v>
      </c>
      <c r="B307" t="s">
        <v>223</v>
      </c>
      <c r="C307" t="s">
        <v>366</v>
      </c>
      <c r="D307" t="s">
        <v>367</v>
      </c>
      <c r="E307" t="s">
        <v>376</v>
      </c>
      <c r="F307" t="s">
        <v>483</v>
      </c>
      <c r="G307">
        <v>4054</v>
      </c>
      <c r="H307">
        <v>1.25</v>
      </c>
      <c r="I307">
        <v>5067.5</v>
      </c>
      <c r="J307">
        <v>0.85</v>
      </c>
      <c r="K307">
        <v>3445.9</v>
      </c>
      <c r="L307">
        <v>1621.6</v>
      </c>
    </row>
    <row r="308" spans="1:12" x14ac:dyDescent="0.25">
      <c r="A308">
        <v>307</v>
      </c>
      <c r="B308" t="s">
        <v>227</v>
      </c>
      <c r="C308" t="s">
        <v>366</v>
      </c>
      <c r="D308" t="s">
        <v>367</v>
      </c>
      <c r="E308" t="s">
        <v>381</v>
      </c>
      <c r="F308" t="s">
        <v>479</v>
      </c>
      <c r="G308">
        <v>4395</v>
      </c>
      <c r="H308">
        <v>0.99</v>
      </c>
      <c r="I308">
        <v>4351.05</v>
      </c>
      <c r="J308">
        <v>0.82</v>
      </c>
      <c r="K308">
        <v>3603.9</v>
      </c>
      <c r="L308">
        <v>747.15</v>
      </c>
    </row>
    <row r="309" spans="1:12" x14ac:dyDescent="0.25">
      <c r="A309">
        <v>308</v>
      </c>
      <c r="B309" t="s">
        <v>171</v>
      </c>
      <c r="C309" t="s">
        <v>363</v>
      </c>
      <c r="D309" t="s">
        <v>370</v>
      </c>
      <c r="E309" t="s">
        <v>445</v>
      </c>
      <c r="F309" t="s">
        <v>487</v>
      </c>
      <c r="G309">
        <v>628</v>
      </c>
      <c r="H309">
        <v>1.47</v>
      </c>
      <c r="I309">
        <v>923.16</v>
      </c>
      <c r="J309">
        <v>1.1000000000000001</v>
      </c>
      <c r="K309">
        <v>690.8</v>
      </c>
      <c r="L309">
        <v>232.36</v>
      </c>
    </row>
    <row r="310" spans="1:12" x14ac:dyDescent="0.25">
      <c r="A310">
        <v>309</v>
      </c>
      <c r="B310" t="s">
        <v>228</v>
      </c>
      <c r="C310" t="s">
        <v>363</v>
      </c>
      <c r="D310" t="s">
        <v>369</v>
      </c>
      <c r="E310" t="s">
        <v>443</v>
      </c>
      <c r="F310" t="s">
        <v>480</v>
      </c>
      <c r="G310">
        <v>2469</v>
      </c>
      <c r="H310">
        <v>1.2</v>
      </c>
      <c r="I310">
        <v>2962.8</v>
      </c>
      <c r="J310">
        <v>0.97</v>
      </c>
      <c r="K310">
        <v>2394.9299999999998</v>
      </c>
      <c r="L310">
        <v>567.87</v>
      </c>
    </row>
    <row r="311" spans="1:12" x14ac:dyDescent="0.25">
      <c r="A311">
        <v>310</v>
      </c>
      <c r="B311" t="s">
        <v>13</v>
      </c>
      <c r="C311" t="s">
        <v>364</v>
      </c>
      <c r="D311" t="s">
        <v>370</v>
      </c>
      <c r="E311" t="s">
        <v>463</v>
      </c>
      <c r="F311" t="s">
        <v>474</v>
      </c>
      <c r="G311">
        <v>1142</v>
      </c>
      <c r="H311">
        <v>1.1499999999999999</v>
      </c>
      <c r="I311">
        <v>1313.3</v>
      </c>
      <c r="J311">
        <v>0.97</v>
      </c>
      <c r="K311">
        <v>1107.74</v>
      </c>
      <c r="L311">
        <v>205.56</v>
      </c>
    </row>
    <row r="312" spans="1:12" x14ac:dyDescent="0.25">
      <c r="A312">
        <v>311</v>
      </c>
      <c r="B312" t="s">
        <v>229</v>
      </c>
      <c r="C312" t="s">
        <v>364</v>
      </c>
      <c r="D312" t="s">
        <v>367</v>
      </c>
      <c r="E312" t="s">
        <v>465</v>
      </c>
      <c r="F312" t="s">
        <v>486</v>
      </c>
      <c r="G312">
        <v>3290</v>
      </c>
      <c r="H312">
        <v>1.22</v>
      </c>
      <c r="I312">
        <v>4013.8</v>
      </c>
      <c r="J312">
        <v>0.92</v>
      </c>
      <c r="K312">
        <v>3026.8</v>
      </c>
      <c r="L312">
        <v>987</v>
      </c>
    </row>
    <row r="313" spans="1:12" x14ac:dyDescent="0.25">
      <c r="A313">
        <v>312</v>
      </c>
      <c r="B313" t="s">
        <v>230</v>
      </c>
      <c r="C313" t="s">
        <v>365</v>
      </c>
      <c r="D313" t="s">
        <v>369</v>
      </c>
      <c r="E313" t="s">
        <v>435</v>
      </c>
      <c r="F313" t="s">
        <v>471</v>
      </c>
      <c r="G313">
        <v>4190</v>
      </c>
      <c r="H313">
        <v>1.1399999999999999</v>
      </c>
      <c r="I313">
        <v>4776.6000000000004</v>
      </c>
      <c r="J313">
        <v>0.79</v>
      </c>
      <c r="K313">
        <v>3310.1</v>
      </c>
      <c r="L313">
        <v>1466.5</v>
      </c>
    </row>
    <row r="314" spans="1:12" x14ac:dyDescent="0.25">
      <c r="A314">
        <v>313</v>
      </c>
      <c r="B314" t="s">
        <v>200</v>
      </c>
      <c r="C314" t="s">
        <v>366</v>
      </c>
      <c r="D314" t="s">
        <v>369</v>
      </c>
      <c r="E314" t="s">
        <v>411</v>
      </c>
      <c r="F314" t="s">
        <v>479</v>
      </c>
      <c r="G314">
        <v>3613</v>
      </c>
      <c r="H314">
        <v>0.86</v>
      </c>
      <c r="I314">
        <v>3107.18</v>
      </c>
      <c r="J314">
        <v>0.65</v>
      </c>
      <c r="K314">
        <v>2348.4499999999998</v>
      </c>
      <c r="L314">
        <v>758.73</v>
      </c>
    </row>
    <row r="315" spans="1:12" x14ac:dyDescent="0.25">
      <c r="A315">
        <v>314</v>
      </c>
      <c r="B315" t="s">
        <v>231</v>
      </c>
      <c r="C315" t="s">
        <v>363</v>
      </c>
      <c r="D315" t="s">
        <v>367</v>
      </c>
      <c r="E315" t="s">
        <v>412</v>
      </c>
      <c r="F315" t="s">
        <v>474</v>
      </c>
      <c r="G315">
        <v>3612</v>
      </c>
      <c r="H315">
        <v>1.3</v>
      </c>
      <c r="I315">
        <v>4695.6000000000004</v>
      </c>
      <c r="J315">
        <v>0.99</v>
      </c>
      <c r="K315">
        <v>3575.88</v>
      </c>
      <c r="L315">
        <v>1119.72</v>
      </c>
    </row>
    <row r="316" spans="1:12" x14ac:dyDescent="0.25">
      <c r="A316">
        <v>315</v>
      </c>
      <c r="B316" t="s">
        <v>232</v>
      </c>
      <c r="C316" t="s">
        <v>365</v>
      </c>
      <c r="D316" t="s">
        <v>370</v>
      </c>
      <c r="E316" t="s">
        <v>450</v>
      </c>
      <c r="F316" t="s">
        <v>486</v>
      </c>
      <c r="G316">
        <v>542</v>
      </c>
      <c r="H316">
        <v>1.46</v>
      </c>
      <c r="I316">
        <v>791.32</v>
      </c>
      <c r="J316">
        <v>1.04</v>
      </c>
      <c r="K316">
        <v>563.67999999999995</v>
      </c>
      <c r="L316">
        <v>227.64</v>
      </c>
    </row>
    <row r="317" spans="1:12" x14ac:dyDescent="0.25">
      <c r="A317">
        <v>316</v>
      </c>
      <c r="B317" t="s">
        <v>233</v>
      </c>
      <c r="C317" t="s">
        <v>366</v>
      </c>
      <c r="D317" t="s">
        <v>367</v>
      </c>
      <c r="E317" t="s">
        <v>437</v>
      </c>
      <c r="F317" t="s">
        <v>480</v>
      </c>
      <c r="G317">
        <v>4030</v>
      </c>
      <c r="H317">
        <v>1.1100000000000001</v>
      </c>
      <c r="I317">
        <v>4473.3</v>
      </c>
      <c r="J317">
        <v>0.82</v>
      </c>
      <c r="K317">
        <v>3304.6</v>
      </c>
      <c r="L317">
        <v>1168.7</v>
      </c>
    </row>
    <row r="318" spans="1:12" x14ac:dyDescent="0.25">
      <c r="A318">
        <v>317</v>
      </c>
      <c r="B318" t="s">
        <v>54</v>
      </c>
      <c r="C318" t="s">
        <v>363</v>
      </c>
      <c r="D318" t="s">
        <v>367</v>
      </c>
      <c r="E318" t="s">
        <v>437</v>
      </c>
      <c r="F318" t="s">
        <v>475</v>
      </c>
      <c r="G318">
        <v>1262</v>
      </c>
      <c r="H318">
        <v>1.22</v>
      </c>
      <c r="I318">
        <v>1539.64</v>
      </c>
      <c r="J318">
        <v>0.97</v>
      </c>
      <c r="K318">
        <v>1224.1400000000001</v>
      </c>
      <c r="L318">
        <v>315.5</v>
      </c>
    </row>
    <row r="319" spans="1:12" x14ac:dyDescent="0.25">
      <c r="A319">
        <v>318</v>
      </c>
      <c r="B319" t="s">
        <v>173</v>
      </c>
      <c r="C319" t="s">
        <v>365</v>
      </c>
      <c r="D319" t="s">
        <v>367</v>
      </c>
      <c r="E319" t="s">
        <v>438</v>
      </c>
      <c r="F319" t="s">
        <v>484</v>
      </c>
      <c r="G319">
        <v>1193</v>
      </c>
      <c r="H319">
        <v>1.31</v>
      </c>
      <c r="I319">
        <v>1562.83</v>
      </c>
      <c r="J319">
        <v>0.97</v>
      </c>
      <c r="K319">
        <v>1157.21</v>
      </c>
      <c r="L319">
        <v>405.62</v>
      </c>
    </row>
    <row r="320" spans="1:12" x14ac:dyDescent="0.25">
      <c r="A320">
        <v>319</v>
      </c>
      <c r="B320" t="s">
        <v>112</v>
      </c>
      <c r="C320" t="s">
        <v>364</v>
      </c>
      <c r="D320" t="s">
        <v>368</v>
      </c>
      <c r="E320" t="s">
        <v>397</v>
      </c>
      <c r="F320" t="s">
        <v>474</v>
      </c>
      <c r="G320">
        <v>2702</v>
      </c>
      <c r="H320">
        <v>1.01</v>
      </c>
      <c r="I320">
        <v>2729.02</v>
      </c>
      <c r="J320">
        <v>0.73</v>
      </c>
      <c r="K320">
        <v>1972.46</v>
      </c>
      <c r="L320">
        <v>756.56</v>
      </c>
    </row>
    <row r="321" spans="1:12" x14ac:dyDescent="0.25">
      <c r="A321">
        <v>320</v>
      </c>
      <c r="B321" t="s">
        <v>74</v>
      </c>
      <c r="C321" t="s">
        <v>364</v>
      </c>
      <c r="D321" t="s">
        <v>368</v>
      </c>
      <c r="E321" t="s">
        <v>374</v>
      </c>
      <c r="F321" t="s">
        <v>481</v>
      </c>
      <c r="G321">
        <v>2955</v>
      </c>
      <c r="H321">
        <v>1.1399999999999999</v>
      </c>
      <c r="I321">
        <v>3368.7</v>
      </c>
      <c r="J321">
        <v>0.71</v>
      </c>
      <c r="K321">
        <v>2098.0500000000002</v>
      </c>
      <c r="L321">
        <v>1270.6500000000001</v>
      </c>
    </row>
    <row r="322" spans="1:12" x14ac:dyDescent="0.25">
      <c r="A322">
        <v>321</v>
      </c>
      <c r="B322" t="s">
        <v>234</v>
      </c>
      <c r="C322" t="s">
        <v>364</v>
      </c>
      <c r="D322" t="s">
        <v>368</v>
      </c>
      <c r="E322" t="s">
        <v>448</v>
      </c>
      <c r="F322" t="s">
        <v>489</v>
      </c>
      <c r="G322">
        <v>2101</v>
      </c>
      <c r="H322">
        <v>1.1200000000000001</v>
      </c>
      <c r="I322">
        <v>2353.12</v>
      </c>
      <c r="J322">
        <v>0.71</v>
      </c>
      <c r="K322">
        <v>1491.71</v>
      </c>
      <c r="L322">
        <v>861.41</v>
      </c>
    </row>
    <row r="323" spans="1:12" x14ac:dyDescent="0.25">
      <c r="A323">
        <v>322</v>
      </c>
      <c r="B323" t="s">
        <v>235</v>
      </c>
      <c r="C323" t="s">
        <v>365</v>
      </c>
      <c r="D323" t="s">
        <v>369</v>
      </c>
      <c r="E323" t="s">
        <v>402</v>
      </c>
      <c r="F323" t="s">
        <v>484</v>
      </c>
      <c r="G323">
        <v>3199</v>
      </c>
      <c r="H323">
        <v>1.1100000000000001</v>
      </c>
      <c r="I323">
        <v>3550.89</v>
      </c>
      <c r="J323">
        <v>0.79</v>
      </c>
      <c r="K323">
        <v>2527.21</v>
      </c>
      <c r="L323">
        <v>1023.68</v>
      </c>
    </row>
    <row r="324" spans="1:12" x14ac:dyDescent="0.25">
      <c r="A324">
        <v>323</v>
      </c>
      <c r="B324" t="s">
        <v>115</v>
      </c>
      <c r="C324" t="s">
        <v>365</v>
      </c>
      <c r="D324" t="s">
        <v>368</v>
      </c>
      <c r="E324" t="s">
        <v>441</v>
      </c>
      <c r="F324" t="s">
        <v>489</v>
      </c>
      <c r="G324">
        <v>2145</v>
      </c>
      <c r="H324">
        <v>1.1399999999999999</v>
      </c>
      <c r="I324">
        <v>2445.3000000000002</v>
      </c>
      <c r="J324">
        <v>0.73</v>
      </c>
      <c r="K324">
        <v>1565.85</v>
      </c>
      <c r="L324">
        <v>879.45</v>
      </c>
    </row>
    <row r="325" spans="1:12" x14ac:dyDescent="0.25">
      <c r="A325">
        <v>324</v>
      </c>
      <c r="B325" t="s">
        <v>226</v>
      </c>
      <c r="C325" t="s">
        <v>365</v>
      </c>
      <c r="D325" t="s">
        <v>370</v>
      </c>
      <c r="E325" t="s">
        <v>371</v>
      </c>
      <c r="F325" t="s">
        <v>483</v>
      </c>
      <c r="G325">
        <v>2485</v>
      </c>
      <c r="H325">
        <v>1.03</v>
      </c>
      <c r="I325">
        <v>2559.5500000000002</v>
      </c>
      <c r="J325">
        <v>0.69</v>
      </c>
      <c r="K325">
        <v>1714.65</v>
      </c>
      <c r="L325">
        <v>844.9</v>
      </c>
    </row>
    <row r="326" spans="1:12" x14ac:dyDescent="0.25">
      <c r="A326">
        <v>325</v>
      </c>
      <c r="B326" t="s">
        <v>236</v>
      </c>
      <c r="C326" t="s">
        <v>363</v>
      </c>
      <c r="D326" t="s">
        <v>370</v>
      </c>
      <c r="E326" t="s">
        <v>433</v>
      </c>
      <c r="F326" t="s">
        <v>485</v>
      </c>
      <c r="G326">
        <v>4969</v>
      </c>
      <c r="H326">
        <v>0.93</v>
      </c>
      <c r="I326">
        <v>4621.17</v>
      </c>
      <c r="J326">
        <v>0.74</v>
      </c>
      <c r="K326">
        <v>3677.06</v>
      </c>
      <c r="L326">
        <v>944.11</v>
      </c>
    </row>
    <row r="327" spans="1:12" x14ac:dyDescent="0.25">
      <c r="A327">
        <v>326</v>
      </c>
      <c r="B327" t="s">
        <v>14</v>
      </c>
      <c r="C327" t="s">
        <v>366</v>
      </c>
      <c r="D327" t="s">
        <v>369</v>
      </c>
      <c r="E327" t="s">
        <v>396</v>
      </c>
      <c r="F327" t="s">
        <v>482</v>
      </c>
      <c r="G327">
        <v>1066</v>
      </c>
      <c r="H327">
        <v>1.37</v>
      </c>
      <c r="I327">
        <v>1460.42</v>
      </c>
      <c r="J327">
        <v>1.0900000000000001</v>
      </c>
      <c r="K327">
        <v>1161.94</v>
      </c>
      <c r="L327">
        <v>298.48</v>
      </c>
    </row>
    <row r="328" spans="1:12" x14ac:dyDescent="0.25">
      <c r="A328">
        <v>327</v>
      </c>
      <c r="B328" t="s">
        <v>131</v>
      </c>
      <c r="C328" t="s">
        <v>366</v>
      </c>
      <c r="D328" t="s">
        <v>369</v>
      </c>
      <c r="E328" t="s">
        <v>436</v>
      </c>
      <c r="F328" t="s">
        <v>482</v>
      </c>
      <c r="G328">
        <v>2482</v>
      </c>
      <c r="H328">
        <v>0.98</v>
      </c>
      <c r="I328">
        <v>2432.36</v>
      </c>
      <c r="J328">
        <v>0.63</v>
      </c>
      <c r="K328">
        <v>1563.66</v>
      </c>
      <c r="L328">
        <v>868.7</v>
      </c>
    </row>
    <row r="329" spans="1:12" x14ac:dyDescent="0.25">
      <c r="A329">
        <v>328</v>
      </c>
      <c r="B329" t="s">
        <v>30</v>
      </c>
      <c r="C329" t="s">
        <v>363</v>
      </c>
      <c r="D329" t="s">
        <v>369</v>
      </c>
      <c r="E329" t="s">
        <v>434</v>
      </c>
      <c r="F329" t="s">
        <v>489</v>
      </c>
      <c r="G329">
        <v>4425</v>
      </c>
      <c r="H329">
        <v>1.21</v>
      </c>
      <c r="I329">
        <v>5354.25</v>
      </c>
      <c r="J329">
        <v>0.89</v>
      </c>
      <c r="K329">
        <v>3938.25</v>
      </c>
      <c r="L329">
        <v>1416</v>
      </c>
    </row>
    <row r="330" spans="1:12" x14ac:dyDescent="0.25">
      <c r="A330">
        <v>329</v>
      </c>
      <c r="B330" t="s">
        <v>237</v>
      </c>
      <c r="C330" t="s">
        <v>363</v>
      </c>
      <c r="D330" t="s">
        <v>369</v>
      </c>
      <c r="E330" t="s">
        <v>383</v>
      </c>
      <c r="F330" t="s">
        <v>476</v>
      </c>
      <c r="G330">
        <v>1196</v>
      </c>
      <c r="H330">
        <v>0.88</v>
      </c>
      <c r="I330">
        <v>1052.48</v>
      </c>
      <c r="J330">
        <v>0.57999999999999996</v>
      </c>
      <c r="K330">
        <v>693.68</v>
      </c>
      <c r="L330">
        <v>358.8</v>
      </c>
    </row>
    <row r="331" spans="1:12" x14ac:dyDescent="0.25">
      <c r="A331">
        <v>330</v>
      </c>
      <c r="B331" t="s">
        <v>169</v>
      </c>
      <c r="C331" t="s">
        <v>366</v>
      </c>
      <c r="D331" t="s">
        <v>370</v>
      </c>
      <c r="E331" t="s">
        <v>431</v>
      </c>
      <c r="F331" t="s">
        <v>489</v>
      </c>
      <c r="G331">
        <v>862</v>
      </c>
      <c r="H331">
        <v>1.19</v>
      </c>
      <c r="I331">
        <v>1025.78</v>
      </c>
      <c r="J331">
        <v>0.91</v>
      </c>
      <c r="K331">
        <v>784.42</v>
      </c>
      <c r="L331">
        <v>241.36</v>
      </c>
    </row>
    <row r="332" spans="1:12" x14ac:dyDescent="0.25">
      <c r="A332">
        <v>331</v>
      </c>
      <c r="B332" t="s">
        <v>238</v>
      </c>
      <c r="C332" t="s">
        <v>365</v>
      </c>
      <c r="D332" t="s">
        <v>369</v>
      </c>
      <c r="E332" t="s">
        <v>416</v>
      </c>
      <c r="F332" t="s">
        <v>488</v>
      </c>
      <c r="G332">
        <v>586</v>
      </c>
      <c r="H332">
        <v>0.87</v>
      </c>
      <c r="I332">
        <v>509.82</v>
      </c>
      <c r="J332">
        <v>0.56999999999999995</v>
      </c>
      <c r="K332">
        <v>334.02</v>
      </c>
      <c r="L332">
        <v>175.8</v>
      </c>
    </row>
    <row r="333" spans="1:12" x14ac:dyDescent="0.25">
      <c r="A333">
        <v>332</v>
      </c>
      <c r="B333" t="s">
        <v>239</v>
      </c>
      <c r="C333" t="s">
        <v>364</v>
      </c>
      <c r="D333" t="s">
        <v>368</v>
      </c>
      <c r="E333" t="s">
        <v>466</v>
      </c>
      <c r="F333" t="s">
        <v>484</v>
      </c>
      <c r="G333">
        <v>4293</v>
      </c>
      <c r="H333">
        <v>1.34</v>
      </c>
      <c r="I333">
        <v>5752.62</v>
      </c>
      <c r="J333">
        <v>1</v>
      </c>
      <c r="K333">
        <v>4293</v>
      </c>
      <c r="L333">
        <v>1459.62</v>
      </c>
    </row>
    <row r="334" spans="1:12" x14ac:dyDescent="0.25">
      <c r="A334">
        <v>333</v>
      </c>
      <c r="B334" t="s">
        <v>240</v>
      </c>
      <c r="C334" t="s">
        <v>365</v>
      </c>
      <c r="D334" t="s">
        <v>368</v>
      </c>
      <c r="E334" t="s">
        <v>435</v>
      </c>
      <c r="F334" t="s">
        <v>483</v>
      </c>
      <c r="G334">
        <v>1356</v>
      </c>
      <c r="H334">
        <v>1.01</v>
      </c>
      <c r="I334">
        <v>1369.56</v>
      </c>
      <c r="J334">
        <v>0.84</v>
      </c>
      <c r="K334">
        <v>1139.04</v>
      </c>
      <c r="L334">
        <v>230.52</v>
      </c>
    </row>
    <row r="335" spans="1:12" x14ac:dyDescent="0.25">
      <c r="A335">
        <v>334</v>
      </c>
      <c r="B335" t="s">
        <v>241</v>
      </c>
      <c r="C335" t="s">
        <v>366</v>
      </c>
      <c r="D335" t="s">
        <v>367</v>
      </c>
      <c r="E335" t="s">
        <v>452</v>
      </c>
      <c r="F335" t="s">
        <v>482</v>
      </c>
      <c r="G335">
        <v>3310</v>
      </c>
      <c r="H335">
        <v>1.1200000000000001</v>
      </c>
      <c r="I335">
        <v>3707.2</v>
      </c>
      <c r="J335">
        <v>0.73</v>
      </c>
      <c r="K335">
        <v>2416.3000000000002</v>
      </c>
      <c r="L335">
        <v>1290.9000000000001</v>
      </c>
    </row>
    <row r="336" spans="1:12" x14ac:dyDescent="0.25">
      <c r="A336">
        <v>335</v>
      </c>
      <c r="B336" t="s">
        <v>242</v>
      </c>
      <c r="C336" t="s">
        <v>364</v>
      </c>
      <c r="D336" t="s">
        <v>370</v>
      </c>
      <c r="E336" t="s">
        <v>462</v>
      </c>
      <c r="F336" t="s">
        <v>473</v>
      </c>
      <c r="G336">
        <v>4206</v>
      </c>
      <c r="H336">
        <v>1.02</v>
      </c>
      <c r="I336">
        <v>4290.12</v>
      </c>
      <c r="J336">
        <v>0.69</v>
      </c>
      <c r="K336">
        <v>2902.14</v>
      </c>
      <c r="L336">
        <v>1387.98</v>
      </c>
    </row>
    <row r="337" spans="1:12" x14ac:dyDescent="0.25">
      <c r="A337">
        <v>336</v>
      </c>
      <c r="B337" t="s">
        <v>187</v>
      </c>
      <c r="C337" t="s">
        <v>363</v>
      </c>
      <c r="D337" t="s">
        <v>367</v>
      </c>
      <c r="E337" t="s">
        <v>425</v>
      </c>
      <c r="F337" t="s">
        <v>488</v>
      </c>
      <c r="G337">
        <v>1846</v>
      </c>
      <c r="H337">
        <v>1.45</v>
      </c>
      <c r="I337">
        <v>2676.7</v>
      </c>
      <c r="J337">
        <v>1.1399999999999999</v>
      </c>
      <c r="K337">
        <v>2104.44</v>
      </c>
      <c r="L337">
        <v>572.26</v>
      </c>
    </row>
    <row r="338" spans="1:12" x14ac:dyDescent="0.25">
      <c r="A338">
        <v>337</v>
      </c>
      <c r="B338" t="s">
        <v>162</v>
      </c>
      <c r="C338" t="s">
        <v>366</v>
      </c>
      <c r="D338" t="s">
        <v>368</v>
      </c>
      <c r="E338" t="s">
        <v>423</v>
      </c>
      <c r="F338" t="s">
        <v>476</v>
      </c>
      <c r="G338">
        <v>3992</v>
      </c>
      <c r="H338">
        <v>1.47</v>
      </c>
      <c r="I338">
        <v>5868.24</v>
      </c>
      <c r="J338">
        <v>0.97</v>
      </c>
      <c r="K338">
        <v>3872.24</v>
      </c>
      <c r="L338">
        <v>1996</v>
      </c>
    </row>
    <row r="339" spans="1:12" x14ac:dyDescent="0.25">
      <c r="A339">
        <v>338</v>
      </c>
      <c r="B339" t="s">
        <v>243</v>
      </c>
      <c r="C339" t="s">
        <v>366</v>
      </c>
      <c r="D339" t="s">
        <v>368</v>
      </c>
      <c r="E339" t="s">
        <v>436</v>
      </c>
      <c r="F339" t="s">
        <v>481</v>
      </c>
      <c r="G339">
        <v>3740</v>
      </c>
      <c r="H339">
        <v>0.82</v>
      </c>
      <c r="I339">
        <v>3066.8</v>
      </c>
      <c r="J339">
        <v>0.62</v>
      </c>
      <c r="K339">
        <v>2318.8000000000002</v>
      </c>
      <c r="L339">
        <v>748</v>
      </c>
    </row>
    <row r="340" spans="1:12" x14ac:dyDescent="0.25">
      <c r="A340">
        <v>339</v>
      </c>
      <c r="B340" t="s">
        <v>244</v>
      </c>
      <c r="C340" t="s">
        <v>364</v>
      </c>
      <c r="D340" t="s">
        <v>369</v>
      </c>
      <c r="E340" t="s">
        <v>440</v>
      </c>
      <c r="F340" t="s">
        <v>472</v>
      </c>
      <c r="G340">
        <v>2259</v>
      </c>
      <c r="H340">
        <v>0.94</v>
      </c>
      <c r="I340">
        <v>2123.46</v>
      </c>
      <c r="J340">
        <v>0.74</v>
      </c>
      <c r="K340">
        <v>1671.66</v>
      </c>
      <c r="L340">
        <v>451.8</v>
      </c>
    </row>
    <row r="341" spans="1:12" x14ac:dyDescent="0.25">
      <c r="A341">
        <v>340</v>
      </c>
      <c r="B341" t="s">
        <v>74</v>
      </c>
      <c r="C341" t="s">
        <v>366</v>
      </c>
      <c r="D341" t="s">
        <v>367</v>
      </c>
      <c r="E341" t="s">
        <v>383</v>
      </c>
      <c r="F341" t="s">
        <v>487</v>
      </c>
      <c r="G341">
        <v>2114</v>
      </c>
      <c r="H341">
        <v>1.1200000000000001</v>
      </c>
      <c r="I341">
        <v>2367.6799999999998</v>
      </c>
      <c r="J341">
        <v>0.75</v>
      </c>
      <c r="K341">
        <v>1585.5</v>
      </c>
      <c r="L341">
        <v>782.18</v>
      </c>
    </row>
    <row r="342" spans="1:12" x14ac:dyDescent="0.25">
      <c r="A342">
        <v>341</v>
      </c>
      <c r="B342" t="s">
        <v>245</v>
      </c>
      <c r="C342" t="s">
        <v>364</v>
      </c>
      <c r="D342" t="s">
        <v>370</v>
      </c>
      <c r="E342" t="s">
        <v>422</v>
      </c>
      <c r="F342" t="s">
        <v>484</v>
      </c>
      <c r="G342">
        <v>1435</v>
      </c>
      <c r="H342">
        <v>1.04</v>
      </c>
      <c r="I342">
        <v>1492.4</v>
      </c>
      <c r="J342">
        <v>0.84</v>
      </c>
      <c r="K342">
        <v>1205.4000000000001</v>
      </c>
      <c r="L342">
        <v>287</v>
      </c>
    </row>
    <row r="343" spans="1:12" x14ac:dyDescent="0.25">
      <c r="A343">
        <v>342</v>
      </c>
      <c r="B343" t="s">
        <v>145</v>
      </c>
      <c r="C343" t="s">
        <v>365</v>
      </c>
      <c r="D343" t="s">
        <v>368</v>
      </c>
      <c r="E343" t="s">
        <v>422</v>
      </c>
      <c r="F343" t="s">
        <v>479</v>
      </c>
      <c r="G343">
        <v>1194</v>
      </c>
      <c r="H343">
        <v>1.27</v>
      </c>
      <c r="I343">
        <v>1516.38</v>
      </c>
      <c r="J343">
        <v>0.86</v>
      </c>
      <c r="K343">
        <v>1026.8399999999999</v>
      </c>
      <c r="L343">
        <v>489.54</v>
      </c>
    </row>
    <row r="344" spans="1:12" x14ac:dyDescent="0.25">
      <c r="A344">
        <v>343</v>
      </c>
      <c r="B344" t="s">
        <v>246</v>
      </c>
      <c r="C344" t="s">
        <v>363</v>
      </c>
      <c r="D344" t="s">
        <v>370</v>
      </c>
      <c r="E344" t="s">
        <v>401</v>
      </c>
      <c r="F344" t="s">
        <v>475</v>
      </c>
      <c r="G344">
        <v>1658</v>
      </c>
      <c r="H344">
        <v>1.1599999999999999</v>
      </c>
      <c r="I344">
        <v>1923.28</v>
      </c>
      <c r="J344">
        <v>0.82</v>
      </c>
      <c r="K344">
        <v>1359.56</v>
      </c>
      <c r="L344">
        <v>563.72</v>
      </c>
    </row>
    <row r="345" spans="1:12" x14ac:dyDescent="0.25">
      <c r="A345">
        <v>344</v>
      </c>
      <c r="B345" t="s">
        <v>195</v>
      </c>
      <c r="C345" t="s">
        <v>364</v>
      </c>
      <c r="D345" t="s">
        <v>369</v>
      </c>
      <c r="E345" t="s">
        <v>401</v>
      </c>
      <c r="F345" t="s">
        <v>483</v>
      </c>
      <c r="G345">
        <v>4902</v>
      </c>
      <c r="H345">
        <v>1.29</v>
      </c>
      <c r="I345">
        <v>6323.58</v>
      </c>
      <c r="J345">
        <v>0.98</v>
      </c>
      <c r="K345">
        <v>4803.96</v>
      </c>
      <c r="L345">
        <v>1519.62</v>
      </c>
    </row>
    <row r="346" spans="1:12" x14ac:dyDescent="0.25">
      <c r="A346">
        <v>345</v>
      </c>
      <c r="B346" t="s">
        <v>247</v>
      </c>
      <c r="C346" t="s">
        <v>364</v>
      </c>
      <c r="D346" t="s">
        <v>368</v>
      </c>
      <c r="E346" t="s">
        <v>407</v>
      </c>
      <c r="F346" t="s">
        <v>474</v>
      </c>
      <c r="G346">
        <v>2032</v>
      </c>
      <c r="H346">
        <v>1.02</v>
      </c>
      <c r="I346">
        <v>2072.64</v>
      </c>
      <c r="J346">
        <v>0.73</v>
      </c>
      <c r="K346">
        <v>1483.36</v>
      </c>
      <c r="L346">
        <v>589.28</v>
      </c>
    </row>
    <row r="347" spans="1:12" x14ac:dyDescent="0.25">
      <c r="A347">
        <v>346</v>
      </c>
      <c r="B347" t="s">
        <v>229</v>
      </c>
      <c r="C347" t="s">
        <v>363</v>
      </c>
      <c r="D347" t="s">
        <v>370</v>
      </c>
      <c r="E347" t="s">
        <v>387</v>
      </c>
      <c r="F347" t="s">
        <v>474</v>
      </c>
      <c r="G347">
        <v>2098</v>
      </c>
      <c r="H347">
        <v>1.37</v>
      </c>
      <c r="I347">
        <v>2874.26</v>
      </c>
      <c r="J347">
        <v>1.1499999999999999</v>
      </c>
      <c r="K347">
        <v>2412.6999999999998</v>
      </c>
      <c r="L347">
        <v>461.56</v>
      </c>
    </row>
    <row r="348" spans="1:12" x14ac:dyDescent="0.25">
      <c r="A348">
        <v>347</v>
      </c>
      <c r="B348" t="s">
        <v>248</v>
      </c>
      <c r="C348" t="s">
        <v>364</v>
      </c>
      <c r="D348" t="s">
        <v>369</v>
      </c>
      <c r="E348" t="s">
        <v>411</v>
      </c>
      <c r="F348" t="s">
        <v>483</v>
      </c>
      <c r="G348">
        <v>3904</v>
      </c>
      <c r="H348">
        <v>1.3</v>
      </c>
      <c r="I348">
        <v>5075.2</v>
      </c>
      <c r="J348">
        <v>0.92</v>
      </c>
      <c r="K348">
        <v>3591.68</v>
      </c>
      <c r="L348">
        <v>1483.52</v>
      </c>
    </row>
    <row r="349" spans="1:12" x14ac:dyDescent="0.25">
      <c r="A349">
        <v>348</v>
      </c>
      <c r="B349" t="s">
        <v>249</v>
      </c>
      <c r="C349" t="s">
        <v>363</v>
      </c>
      <c r="D349" t="s">
        <v>367</v>
      </c>
      <c r="E349" t="s">
        <v>424</v>
      </c>
      <c r="F349" t="s">
        <v>477</v>
      </c>
      <c r="G349">
        <v>2892</v>
      </c>
      <c r="H349">
        <v>0.82</v>
      </c>
      <c r="I349">
        <v>2371.44</v>
      </c>
      <c r="J349">
        <v>0.54</v>
      </c>
      <c r="K349">
        <v>1561.68</v>
      </c>
      <c r="L349">
        <v>809.76</v>
      </c>
    </row>
    <row r="350" spans="1:12" x14ac:dyDescent="0.25">
      <c r="A350">
        <v>349</v>
      </c>
      <c r="B350" t="s">
        <v>203</v>
      </c>
      <c r="C350" t="s">
        <v>364</v>
      </c>
      <c r="D350" t="s">
        <v>368</v>
      </c>
      <c r="E350" t="s">
        <v>433</v>
      </c>
      <c r="F350" t="s">
        <v>483</v>
      </c>
      <c r="G350">
        <v>4684</v>
      </c>
      <c r="H350">
        <v>0.88</v>
      </c>
      <c r="I350">
        <v>4121.92</v>
      </c>
      <c r="J350">
        <v>0.55000000000000004</v>
      </c>
      <c r="K350">
        <v>2576.1999999999998</v>
      </c>
      <c r="L350">
        <v>1545.72</v>
      </c>
    </row>
    <row r="351" spans="1:12" x14ac:dyDescent="0.25">
      <c r="A351">
        <v>350</v>
      </c>
      <c r="B351" t="s">
        <v>113</v>
      </c>
      <c r="C351" t="s">
        <v>363</v>
      </c>
      <c r="D351" t="s">
        <v>370</v>
      </c>
      <c r="E351" t="s">
        <v>424</v>
      </c>
      <c r="F351" t="s">
        <v>473</v>
      </c>
      <c r="G351">
        <v>4975</v>
      </c>
      <c r="H351">
        <v>0.95</v>
      </c>
      <c r="I351">
        <v>4726.25</v>
      </c>
      <c r="J351">
        <v>0.67</v>
      </c>
      <c r="K351">
        <v>3333.25</v>
      </c>
      <c r="L351">
        <v>1393</v>
      </c>
    </row>
    <row r="352" spans="1:12" x14ac:dyDescent="0.25">
      <c r="A352">
        <v>351</v>
      </c>
      <c r="B352" t="s">
        <v>47</v>
      </c>
      <c r="C352" t="s">
        <v>365</v>
      </c>
      <c r="D352" t="s">
        <v>368</v>
      </c>
      <c r="E352" t="s">
        <v>372</v>
      </c>
      <c r="F352" t="s">
        <v>473</v>
      </c>
      <c r="G352">
        <v>2652</v>
      </c>
      <c r="H352">
        <v>1.04</v>
      </c>
      <c r="I352">
        <v>2758.08</v>
      </c>
      <c r="J352">
        <v>0.84</v>
      </c>
      <c r="K352">
        <v>2227.6799999999998</v>
      </c>
      <c r="L352">
        <v>530.4</v>
      </c>
    </row>
    <row r="353" spans="1:12" x14ac:dyDescent="0.25">
      <c r="A353">
        <v>352</v>
      </c>
      <c r="B353" t="s">
        <v>31</v>
      </c>
      <c r="C353" t="s">
        <v>366</v>
      </c>
      <c r="D353" t="s">
        <v>367</v>
      </c>
      <c r="E353" t="s">
        <v>439</v>
      </c>
      <c r="F353" t="s">
        <v>479</v>
      </c>
      <c r="G353">
        <v>3372</v>
      </c>
      <c r="H353">
        <v>1.4</v>
      </c>
      <c r="I353">
        <v>4720.8</v>
      </c>
      <c r="J353">
        <v>1.05</v>
      </c>
      <c r="K353">
        <v>3540.6</v>
      </c>
      <c r="L353">
        <v>1180.2</v>
      </c>
    </row>
    <row r="354" spans="1:12" x14ac:dyDescent="0.25">
      <c r="A354">
        <v>353</v>
      </c>
      <c r="B354" t="s">
        <v>250</v>
      </c>
      <c r="C354" t="s">
        <v>366</v>
      </c>
      <c r="D354" t="s">
        <v>368</v>
      </c>
      <c r="E354" t="s">
        <v>439</v>
      </c>
      <c r="F354" t="s">
        <v>485</v>
      </c>
      <c r="G354">
        <v>986</v>
      </c>
      <c r="H354">
        <v>1.2</v>
      </c>
      <c r="I354">
        <v>1183.2</v>
      </c>
      <c r="J354">
        <v>0.88</v>
      </c>
      <c r="K354">
        <v>867.68</v>
      </c>
      <c r="L354">
        <v>315.52</v>
      </c>
    </row>
    <row r="355" spans="1:12" x14ac:dyDescent="0.25">
      <c r="A355">
        <v>354</v>
      </c>
      <c r="B355" t="s">
        <v>25</v>
      </c>
      <c r="C355" t="s">
        <v>365</v>
      </c>
      <c r="D355" t="s">
        <v>368</v>
      </c>
      <c r="E355" t="s">
        <v>453</v>
      </c>
      <c r="F355" t="s">
        <v>482</v>
      </c>
      <c r="G355">
        <v>2870</v>
      </c>
      <c r="H355">
        <v>1.2</v>
      </c>
      <c r="I355">
        <v>3444</v>
      </c>
      <c r="J355">
        <v>1.01</v>
      </c>
      <c r="K355">
        <v>2898.7</v>
      </c>
      <c r="L355">
        <v>545.29999999999995</v>
      </c>
    </row>
    <row r="356" spans="1:12" x14ac:dyDescent="0.25">
      <c r="A356">
        <v>355</v>
      </c>
      <c r="B356" t="s">
        <v>193</v>
      </c>
      <c r="C356" t="s">
        <v>366</v>
      </c>
      <c r="D356" t="s">
        <v>367</v>
      </c>
      <c r="E356" t="s">
        <v>463</v>
      </c>
      <c r="F356" t="s">
        <v>481</v>
      </c>
      <c r="G356">
        <v>985</v>
      </c>
      <c r="H356">
        <v>1.49</v>
      </c>
      <c r="I356">
        <v>1467.65</v>
      </c>
      <c r="J356">
        <v>1.22</v>
      </c>
      <c r="K356">
        <v>1201.7</v>
      </c>
      <c r="L356">
        <v>265.95</v>
      </c>
    </row>
    <row r="357" spans="1:12" x14ac:dyDescent="0.25">
      <c r="A357">
        <v>356</v>
      </c>
      <c r="B357" t="s">
        <v>135</v>
      </c>
      <c r="C357" t="s">
        <v>366</v>
      </c>
      <c r="D357" t="s">
        <v>368</v>
      </c>
      <c r="E357" t="s">
        <v>446</v>
      </c>
      <c r="F357" t="s">
        <v>487</v>
      </c>
      <c r="G357">
        <v>2527</v>
      </c>
      <c r="H357">
        <v>1.33</v>
      </c>
      <c r="I357">
        <v>3360.91</v>
      </c>
      <c r="J357">
        <v>1.02</v>
      </c>
      <c r="K357">
        <v>2577.54</v>
      </c>
      <c r="L357">
        <v>783.37</v>
      </c>
    </row>
    <row r="358" spans="1:12" x14ac:dyDescent="0.25">
      <c r="A358">
        <v>357</v>
      </c>
      <c r="B358" t="s">
        <v>245</v>
      </c>
      <c r="C358" t="s">
        <v>365</v>
      </c>
      <c r="D358" t="s">
        <v>368</v>
      </c>
      <c r="E358" t="s">
        <v>384</v>
      </c>
      <c r="F358" t="s">
        <v>481</v>
      </c>
      <c r="G358">
        <v>3573</v>
      </c>
      <c r="H358">
        <v>1.1200000000000001</v>
      </c>
      <c r="I358">
        <v>4001.76</v>
      </c>
      <c r="J358">
        <v>0.85</v>
      </c>
      <c r="K358">
        <v>3037.05</v>
      </c>
      <c r="L358">
        <v>964.71</v>
      </c>
    </row>
    <row r="359" spans="1:12" x14ac:dyDescent="0.25">
      <c r="A359">
        <v>358</v>
      </c>
      <c r="B359" t="s">
        <v>16</v>
      </c>
      <c r="C359" t="s">
        <v>365</v>
      </c>
      <c r="D359" t="s">
        <v>369</v>
      </c>
      <c r="E359" t="s">
        <v>454</v>
      </c>
      <c r="F359" t="s">
        <v>475</v>
      </c>
      <c r="G359">
        <v>4224</v>
      </c>
      <c r="H359">
        <v>1.47</v>
      </c>
      <c r="I359">
        <v>6209.28</v>
      </c>
      <c r="J359">
        <v>1</v>
      </c>
      <c r="K359">
        <v>4224</v>
      </c>
      <c r="L359">
        <v>1985.28</v>
      </c>
    </row>
    <row r="360" spans="1:12" x14ac:dyDescent="0.25">
      <c r="A360">
        <v>359</v>
      </c>
      <c r="B360" t="s">
        <v>251</v>
      </c>
      <c r="C360" t="s">
        <v>364</v>
      </c>
      <c r="D360" t="s">
        <v>367</v>
      </c>
      <c r="E360" t="s">
        <v>436</v>
      </c>
      <c r="F360" t="s">
        <v>475</v>
      </c>
      <c r="G360">
        <v>1018</v>
      </c>
      <c r="H360">
        <v>1.36</v>
      </c>
      <c r="I360">
        <v>1384.48</v>
      </c>
      <c r="J360">
        <v>0.95</v>
      </c>
      <c r="K360">
        <v>967.1</v>
      </c>
      <c r="L360">
        <v>417.38</v>
      </c>
    </row>
    <row r="361" spans="1:12" x14ac:dyDescent="0.25">
      <c r="A361">
        <v>360</v>
      </c>
      <c r="B361" t="s">
        <v>250</v>
      </c>
      <c r="C361" t="s">
        <v>364</v>
      </c>
      <c r="D361" t="s">
        <v>368</v>
      </c>
      <c r="E361" t="s">
        <v>412</v>
      </c>
      <c r="F361" t="s">
        <v>487</v>
      </c>
      <c r="G361">
        <v>2823</v>
      </c>
      <c r="H361">
        <v>1.04</v>
      </c>
      <c r="I361">
        <v>2935.92</v>
      </c>
      <c r="J361">
        <v>0.77</v>
      </c>
      <c r="K361">
        <v>2173.71</v>
      </c>
      <c r="L361">
        <v>762.21</v>
      </c>
    </row>
    <row r="362" spans="1:12" x14ac:dyDescent="0.25">
      <c r="A362">
        <v>361</v>
      </c>
      <c r="B362" t="s">
        <v>252</v>
      </c>
      <c r="C362" t="s">
        <v>365</v>
      </c>
      <c r="D362" t="s">
        <v>369</v>
      </c>
      <c r="E362" t="s">
        <v>411</v>
      </c>
      <c r="F362" t="s">
        <v>478</v>
      </c>
      <c r="G362">
        <v>876</v>
      </c>
      <c r="H362">
        <v>0.87</v>
      </c>
      <c r="I362">
        <v>762.12</v>
      </c>
      <c r="J362">
        <v>0.69</v>
      </c>
      <c r="K362">
        <v>604.44000000000005</v>
      </c>
      <c r="L362">
        <v>157.68</v>
      </c>
    </row>
    <row r="363" spans="1:12" x14ac:dyDescent="0.25">
      <c r="A363">
        <v>362</v>
      </c>
      <c r="B363" t="s">
        <v>253</v>
      </c>
      <c r="C363" t="s">
        <v>363</v>
      </c>
      <c r="D363" t="s">
        <v>367</v>
      </c>
      <c r="E363" t="s">
        <v>406</v>
      </c>
      <c r="F363" t="s">
        <v>473</v>
      </c>
      <c r="G363">
        <v>4239</v>
      </c>
      <c r="H363">
        <v>0.8</v>
      </c>
      <c r="I363">
        <v>3391.2</v>
      </c>
      <c r="J363">
        <v>0.67</v>
      </c>
      <c r="K363">
        <v>2840.13</v>
      </c>
      <c r="L363">
        <v>551.07000000000005</v>
      </c>
    </row>
    <row r="364" spans="1:12" x14ac:dyDescent="0.25">
      <c r="A364">
        <v>363</v>
      </c>
      <c r="B364" t="s">
        <v>254</v>
      </c>
      <c r="C364" t="s">
        <v>365</v>
      </c>
      <c r="D364" t="s">
        <v>368</v>
      </c>
      <c r="E364" t="s">
        <v>406</v>
      </c>
      <c r="F364" t="s">
        <v>471</v>
      </c>
      <c r="G364">
        <v>1264</v>
      </c>
      <c r="H364">
        <v>1.26</v>
      </c>
      <c r="I364">
        <v>1592.64</v>
      </c>
      <c r="J364">
        <v>0.83</v>
      </c>
      <c r="K364">
        <v>1049.1199999999999</v>
      </c>
      <c r="L364">
        <v>543.52</v>
      </c>
    </row>
    <row r="365" spans="1:12" x14ac:dyDescent="0.25">
      <c r="A365">
        <v>364</v>
      </c>
      <c r="B365" t="s">
        <v>255</v>
      </c>
      <c r="C365" t="s">
        <v>363</v>
      </c>
      <c r="D365" t="s">
        <v>368</v>
      </c>
      <c r="E365" t="s">
        <v>455</v>
      </c>
      <c r="F365" t="s">
        <v>482</v>
      </c>
      <c r="G365">
        <v>2418</v>
      </c>
      <c r="H365">
        <v>1.1000000000000001</v>
      </c>
      <c r="I365">
        <v>2659.8</v>
      </c>
      <c r="J365">
        <v>0.69</v>
      </c>
      <c r="K365">
        <v>1668.42</v>
      </c>
      <c r="L365">
        <v>991.38</v>
      </c>
    </row>
    <row r="366" spans="1:12" x14ac:dyDescent="0.25">
      <c r="A366">
        <v>365</v>
      </c>
      <c r="B366" t="s">
        <v>227</v>
      </c>
      <c r="C366" t="s">
        <v>366</v>
      </c>
      <c r="D366" t="s">
        <v>367</v>
      </c>
      <c r="E366" t="s">
        <v>468</v>
      </c>
      <c r="F366" t="s">
        <v>486</v>
      </c>
      <c r="G366">
        <v>1587</v>
      </c>
      <c r="H366">
        <v>1.22</v>
      </c>
      <c r="I366">
        <v>1936.14</v>
      </c>
      <c r="J366">
        <v>0.89</v>
      </c>
      <c r="K366">
        <v>1412.43</v>
      </c>
      <c r="L366">
        <v>523.71</v>
      </c>
    </row>
    <row r="367" spans="1:12" x14ac:dyDescent="0.25">
      <c r="A367">
        <v>366</v>
      </c>
      <c r="B367" t="s">
        <v>256</v>
      </c>
      <c r="C367" t="s">
        <v>363</v>
      </c>
      <c r="D367" t="s">
        <v>367</v>
      </c>
      <c r="E367" t="s">
        <v>429</v>
      </c>
      <c r="F367" t="s">
        <v>487</v>
      </c>
      <c r="G367">
        <v>1487</v>
      </c>
      <c r="H367">
        <v>1.49</v>
      </c>
      <c r="I367">
        <v>2215.63</v>
      </c>
      <c r="J367">
        <v>1.05</v>
      </c>
      <c r="K367">
        <v>1561.35</v>
      </c>
      <c r="L367">
        <v>654.28</v>
      </c>
    </row>
    <row r="368" spans="1:12" x14ac:dyDescent="0.25">
      <c r="A368">
        <v>367</v>
      </c>
      <c r="B368" t="s">
        <v>257</v>
      </c>
      <c r="C368" t="s">
        <v>363</v>
      </c>
      <c r="D368" t="s">
        <v>369</v>
      </c>
      <c r="E368" t="s">
        <v>465</v>
      </c>
      <c r="F368" t="s">
        <v>484</v>
      </c>
      <c r="G368">
        <v>1231</v>
      </c>
      <c r="H368">
        <v>1.31</v>
      </c>
      <c r="I368">
        <v>1612.61</v>
      </c>
      <c r="J368">
        <v>0.82</v>
      </c>
      <c r="K368">
        <v>1009.42</v>
      </c>
      <c r="L368">
        <v>603.19000000000005</v>
      </c>
    </row>
    <row r="369" spans="1:12" x14ac:dyDescent="0.25">
      <c r="A369">
        <v>368</v>
      </c>
      <c r="B369" t="s">
        <v>150</v>
      </c>
      <c r="C369" t="s">
        <v>365</v>
      </c>
      <c r="D369" t="s">
        <v>370</v>
      </c>
      <c r="E369" t="s">
        <v>457</v>
      </c>
      <c r="F369" t="s">
        <v>484</v>
      </c>
      <c r="G369">
        <v>1590</v>
      </c>
      <c r="H369">
        <v>1.25</v>
      </c>
      <c r="I369">
        <v>1987.5</v>
      </c>
      <c r="J369">
        <v>0.96</v>
      </c>
      <c r="K369">
        <v>1526.4</v>
      </c>
      <c r="L369">
        <v>461.1</v>
      </c>
    </row>
    <row r="370" spans="1:12" x14ac:dyDescent="0.25">
      <c r="A370">
        <v>369</v>
      </c>
      <c r="B370" t="s">
        <v>29</v>
      </c>
      <c r="C370" t="s">
        <v>366</v>
      </c>
      <c r="D370" t="s">
        <v>367</v>
      </c>
      <c r="E370" t="s">
        <v>396</v>
      </c>
      <c r="F370" t="s">
        <v>475</v>
      </c>
      <c r="G370">
        <v>2245</v>
      </c>
      <c r="H370">
        <v>1.24</v>
      </c>
      <c r="I370">
        <v>2783.8</v>
      </c>
      <c r="J370">
        <v>0.79</v>
      </c>
      <c r="K370">
        <v>1773.55</v>
      </c>
      <c r="L370">
        <v>1010.25</v>
      </c>
    </row>
    <row r="371" spans="1:12" x14ac:dyDescent="0.25">
      <c r="A371">
        <v>370</v>
      </c>
      <c r="B371" t="s">
        <v>114</v>
      </c>
      <c r="C371" t="s">
        <v>366</v>
      </c>
      <c r="D371" t="s">
        <v>369</v>
      </c>
      <c r="E371" t="s">
        <v>437</v>
      </c>
      <c r="F371" t="s">
        <v>488</v>
      </c>
      <c r="G371">
        <v>1646</v>
      </c>
      <c r="H371">
        <v>1.33</v>
      </c>
      <c r="I371">
        <v>2189.1799999999998</v>
      </c>
      <c r="J371">
        <v>0.99</v>
      </c>
      <c r="K371">
        <v>1629.54</v>
      </c>
      <c r="L371">
        <v>559.64</v>
      </c>
    </row>
    <row r="372" spans="1:12" x14ac:dyDescent="0.25">
      <c r="A372">
        <v>371</v>
      </c>
      <c r="B372" t="s">
        <v>179</v>
      </c>
      <c r="C372" t="s">
        <v>364</v>
      </c>
      <c r="D372" t="s">
        <v>370</v>
      </c>
      <c r="E372" t="s">
        <v>404</v>
      </c>
      <c r="F372" t="s">
        <v>474</v>
      </c>
      <c r="G372">
        <v>2529</v>
      </c>
      <c r="H372">
        <v>0.99</v>
      </c>
      <c r="I372">
        <v>2503.71</v>
      </c>
      <c r="J372">
        <v>0.61</v>
      </c>
      <c r="K372">
        <v>1542.69</v>
      </c>
      <c r="L372">
        <v>961.02</v>
      </c>
    </row>
    <row r="373" spans="1:12" x14ac:dyDescent="0.25">
      <c r="A373">
        <v>372</v>
      </c>
      <c r="B373" t="s">
        <v>48</v>
      </c>
      <c r="C373" t="s">
        <v>363</v>
      </c>
      <c r="D373" t="s">
        <v>370</v>
      </c>
      <c r="E373" t="s">
        <v>389</v>
      </c>
      <c r="F373" t="s">
        <v>482</v>
      </c>
      <c r="G373">
        <v>2183</v>
      </c>
      <c r="H373">
        <v>1.1599999999999999</v>
      </c>
      <c r="I373">
        <v>2532.2800000000002</v>
      </c>
      <c r="J373">
        <v>0.84</v>
      </c>
      <c r="K373">
        <v>1833.72</v>
      </c>
      <c r="L373">
        <v>698.56</v>
      </c>
    </row>
    <row r="374" spans="1:12" x14ac:dyDescent="0.25">
      <c r="A374">
        <v>373</v>
      </c>
      <c r="B374" t="s">
        <v>258</v>
      </c>
      <c r="C374" t="s">
        <v>363</v>
      </c>
      <c r="D374" t="s">
        <v>370</v>
      </c>
      <c r="E374" t="s">
        <v>388</v>
      </c>
      <c r="F374" t="s">
        <v>483</v>
      </c>
      <c r="G374">
        <v>3661</v>
      </c>
      <c r="H374">
        <v>0.88</v>
      </c>
      <c r="I374">
        <v>3221.68</v>
      </c>
      <c r="J374">
        <v>0.64</v>
      </c>
      <c r="K374">
        <v>2343.04</v>
      </c>
      <c r="L374">
        <v>878.64</v>
      </c>
    </row>
    <row r="375" spans="1:12" x14ac:dyDescent="0.25">
      <c r="A375">
        <v>374</v>
      </c>
      <c r="B375" t="s">
        <v>230</v>
      </c>
      <c r="C375" t="s">
        <v>363</v>
      </c>
      <c r="D375" t="s">
        <v>367</v>
      </c>
      <c r="E375" t="s">
        <v>383</v>
      </c>
      <c r="F375" t="s">
        <v>487</v>
      </c>
      <c r="G375">
        <v>1581</v>
      </c>
      <c r="H375">
        <v>1.07</v>
      </c>
      <c r="I375">
        <v>1691.67</v>
      </c>
      <c r="J375">
        <v>0.87</v>
      </c>
      <c r="K375">
        <v>1375.47</v>
      </c>
      <c r="L375">
        <v>316.2</v>
      </c>
    </row>
    <row r="376" spans="1:12" x14ac:dyDescent="0.25">
      <c r="A376">
        <v>375</v>
      </c>
      <c r="B376" t="s">
        <v>75</v>
      </c>
      <c r="C376" t="s">
        <v>366</v>
      </c>
      <c r="D376" t="s">
        <v>370</v>
      </c>
      <c r="E376" t="s">
        <v>424</v>
      </c>
      <c r="F376" t="s">
        <v>483</v>
      </c>
      <c r="G376">
        <v>1097</v>
      </c>
      <c r="H376">
        <v>0.81</v>
      </c>
      <c r="I376">
        <v>888.57</v>
      </c>
      <c r="J376">
        <v>0.5</v>
      </c>
      <c r="K376">
        <v>548.5</v>
      </c>
      <c r="L376">
        <v>340.07</v>
      </c>
    </row>
    <row r="377" spans="1:12" x14ac:dyDescent="0.25">
      <c r="A377">
        <v>376</v>
      </c>
      <c r="B377" t="s">
        <v>26</v>
      </c>
      <c r="C377" t="s">
        <v>363</v>
      </c>
      <c r="D377" t="s">
        <v>368</v>
      </c>
      <c r="E377" t="s">
        <v>400</v>
      </c>
      <c r="F377" t="s">
        <v>484</v>
      </c>
      <c r="G377">
        <v>4650</v>
      </c>
      <c r="H377">
        <v>1</v>
      </c>
      <c r="I377">
        <v>4650</v>
      </c>
      <c r="J377">
        <v>0.78</v>
      </c>
      <c r="K377">
        <v>3627</v>
      </c>
      <c r="L377">
        <v>1023</v>
      </c>
    </row>
    <row r="378" spans="1:12" x14ac:dyDescent="0.25">
      <c r="A378">
        <v>377</v>
      </c>
      <c r="B378" t="s">
        <v>141</v>
      </c>
      <c r="C378" t="s">
        <v>364</v>
      </c>
      <c r="D378" t="s">
        <v>369</v>
      </c>
      <c r="E378" t="s">
        <v>376</v>
      </c>
      <c r="F378" t="s">
        <v>476</v>
      </c>
      <c r="G378">
        <v>4904</v>
      </c>
      <c r="H378">
        <v>1.23</v>
      </c>
      <c r="I378">
        <v>6031.92</v>
      </c>
      <c r="J378">
        <v>0.82</v>
      </c>
      <c r="K378">
        <v>4021.28</v>
      </c>
      <c r="L378">
        <v>2010.64</v>
      </c>
    </row>
    <row r="379" spans="1:12" x14ac:dyDescent="0.25">
      <c r="A379">
        <v>378</v>
      </c>
      <c r="B379" t="s">
        <v>144</v>
      </c>
      <c r="C379" t="s">
        <v>366</v>
      </c>
      <c r="D379" t="s">
        <v>367</v>
      </c>
      <c r="E379" t="s">
        <v>399</v>
      </c>
      <c r="F379" t="s">
        <v>476</v>
      </c>
      <c r="G379">
        <v>3176</v>
      </c>
      <c r="H379">
        <v>1.07</v>
      </c>
      <c r="I379">
        <v>3398.32</v>
      </c>
      <c r="J379">
        <v>0.81</v>
      </c>
      <c r="K379">
        <v>2572.56</v>
      </c>
      <c r="L379">
        <v>825.76</v>
      </c>
    </row>
    <row r="380" spans="1:12" x14ac:dyDescent="0.25">
      <c r="A380">
        <v>379</v>
      </c>
      <c r="B380" t="s">
        <v>259</v>
      </c>
      <c r="C380" t="s">
        <v>365</v>
      </c>
      <c r="D380" t="s">
        <v>367</v>
      </c>
      <c r="E380" t="s">
        <v>429</v>
      </c>
      <c r="F380" t="s">
        <v>481</v>
      </c>
      <c r="G380">
        <v>2454</v>
      </c>
      <c r="H380">
        <v>0.84</v>
      </c>
      <c r="I380">
        <v>2061.36</v>
      </c>
      <c r="J380">
        <v>0.52</v>
      </c>
      <c r="K380">
        <v>1276.08</v>
      </c>
      <c r="L380">
        <v>785.28</v>
      </c>
    </row>
    <row r="381" spans="1:12" x14ac:dyDescent="0.25">
      <c r="A381">
        <v>380</v>
      </c>
      <c r="B381" t="s">
        <v>260</v>
      </c>
      <c r="C381" t="s">
        <v>364</v>
      </c>
      <c r="D381" t="s">
        <v>367</v>
      </c>
      <c r="E381" t="s">
        <v>422</v>
      </c>
      <c r="F381" t="s">
        <v>489</v>
      </c>
      <c r="G381">
        <v>950</v>
      </c>
      <c r="H381">
        <v>1.02</v>
      </c>
      <c r="I381">
        <v>969</v>
      </c>
      <c r="J381">
        <v>0.8</v>
      </c>
      <c r="K381">
        <v>760</v>
      </c>
      <c r="L381">
        <v>209</v>
      </c>
    </row>
    <row r="382" spans="1:12" x14ac:dyDescent="0.25">
      <c r="A382">
        <v>381</v>
      </c>
      <c r="B382" t="s">
        <v>149</v>
      </c>
      <c r="C382" t="s">
        <v>363</v>
      </c>
      <c r="D382" t="s">
        <v>367</v>
      </c>
      <c r="E382" t="s">
        <v>453</v>
      </c>
      <c r="F382" t="s">
        <v>474</v>
      </c>
      <c r="G382">
        <v>592</v>
      </c>
      <c r="H382">
        <v>0.91</v>
      </c>
      <c r="I382">
        <v>538.72</v>
      </c>
      <c r="J382">
        <v>0.76</v>
      </c>
      <c r="K382">
        <v>449.92</v>
      </c>
      <c r="L382">
        <v>88.8</v>
      </c>
    </row>
    <row r="383" spans="1:12" x14ac:dyDescent="0.25">
      <c r="A383">
        <v>382</v>
      </c>
      <c r="B383" t="s">
        <v>86</v>
      </c>
      <c r="C383" t="s">
        <v>366</v>
      </c>
      <c r="D383" t="s">
        <v>370</v>
      </c>
      <c r="E383" t="s">
        <v>466</v>
      </c>
      <c r="F383" t="s">
        <v>474</v>
      </c>
      <c r="G383">
        <v>2701</v>
      </c>
      <c r="H383">
        <v>1.31</v>
      </c>
      <c r="I383">
        <v>3538.31</v>
      </c>
      <c r="J383">
        <v>0.82</v>
      </c>
      <c r="K383">
        <v>2214.8200000000002</v>
      </c>
      <c r="L383">
        <v>1323.49</v>
      </c>
    </row>
    <row r="384" spans="1:12" x14ac:dyDescent="0.25">
      <c r="A384">
        <v>383</v>
      </c>
      <c r="B384" t="s">
        <v>261</v>
      </c>
      <c r="C384" t="s">
        <v>364</v>
      </c>
      <c r="D384" t="s">
        <v>370</v>
      </c>
      <c r="E384" t="s">
        <v>412</v>
      </c>
      <c r="F384" t="s">
        <v>490</v>
      </c>
      <c r="G384">
        <v>1023</v>
      </c>
      <c r="H384">
        <v>0.98</v>
      </c>
      <c r="I384">
        <v>1002.54</v>
      </c>
      <c r="J384">
        <v>0.83</v>
      </c>
      <c r="K384">
        <v>849.09</v>
      </c>
      <c r="L384">
        <v>153.44999999999999</v>
      </c>
    </row>
    <row r="385" spans="1:12" x14ac:dyDescent="0.25">
      <c r="A385">
        <v>384</v>
      </c>
      <c r="B385" t="s">
        <v>262</v>
      </c>
      <c r="C385" t="s">
        <v>364</v>
      </c>
      <c r="D385" t="s">
        <v>367</v>
      </c>
      <c r="E385" t="s">
        <v>378</v>
      </c>
      <c r="F385" t="s">
        <v>490</v>
      </c>
      <c r="G385">
        <v>3450</v>
      </c>
      <c r="H385">
        <v>0.84</v>
      </c>
      <c r="I385">
        <v>2898</v>
      </c>
      <c r="J385">
        <v>0.68</v>
      </c>
      <c r="K385">
        <v>2346</v>
      </c>
      <c r="L385">
        <v>552</v>
      </c>
    </row>
    <row r="386" spans="1:12" x14ac:dyDescent="0.25">
      <c r="A386">
        <v>385</v>
      </c>
      <c r="B386" t="s">
        <v>249</v>
      </c>
      <c r="C386" t="s">
        <v>366</v>
      </c>
      <c r="D386" t="s">
        <v>370</v>
      </c>
      <c r="E386" t="s">
        <v>408</v>
      </c>
      <c r="F386" t="s">
        <v>488</v>
      </c>
      <c r="G386">
        <v>1444</v>
      </c>
      <c r="H386">
        <v>0.96</v>
      </c>
      <c r="I386">
        <v>1386.24</v>
      </c>
      <c r="J386">
        <v>0.7</v>
      </c>
      <c r="K386">
        <v>1010.8</v>
      </c>
      <c r="L386">
        <v>375.44</v>
      </c>
    </row>
    <row r="387" spans="1:12" x14ac:dyDescent="0.25">
      <c r="A387">
        <v>386</v>
      </c>
      <c r="B387" t="s">
        <v>50</v>
      </c>
      <c r="C387" t="s">
        <v>366</v>
      </c>
      <c r="D387" t="s">
        <v>367</v>
      </c>
      <c r="E387" t="s">
        <v>377</v>
      </c>
      <c r="F387" t="s">
        <v>483</v>
      </c>
      <c r="G387">
        <v>3481</v>
      </c>
      <c r="H387">
        <v>1.07</v>
      </c>
      <c r="I387">
        <v>3724.67</v>
      </c>
      <c r="J387">
        <v>0.68</v>
      </c>
      <c r="K387">
        <v>2367.08</v>
      </c>
      <c r="L387">
        <v>1357.59</v>
      </c>
    </row>
    <row r="388" spans="1:12" x14ac:dyDescent="0.25">
      <c r="A388">
        <v>387</v>
      </c>
      <c r="B388" t="s">
        <v>263</v>
      </c>
      <c r="C388" t="s">
        <v>366</v>
      </c>
      <c r="D388" t="s">
        <v>369</v>
      </c>
      <c r="E388" t="s">
        <v>441</v>
      </c>
      <c r="F388" t="s">
        <v>477</v>
      </c>
      <c r="G388">
        <v>3909</v>
      </c>
      <c r="H388">
        <v>1.44</v>
      </c>
      <c r="I388">
        <v>5628.96</v>
      </c>
      <c r="J388">
        <v>0.98</v>
      </c>
      <c r="K388">
        <v>3830.82</v>
      </c>
      <c r="L388">
        <v>1798.14</v>
      </c>
    </row>
    <row r="389" spans="1:12" x14ac:dyDescent="0.25">
      <c r="A389">
        <v>388</v>
      </c>
      <c r="B389" t="s">
        <v>151</v>
      </c>
      <c r="C389" t="s">
        <v>363</v>
      </c>
      <c r="D389" t="s">
        <v>370</v>
      </c>
      <c r="E389" t="s">
        <v>405</v>
      </c>
      <c r="F389" t="s">
        <v>478</v>
      </c>
      <c r="G389">
        <v>1969</v>
      </c>
      <c r="H389">
        <v>0.96</v>
      </c>
      <c r="I389">
        <v>1890.24</v>
      </c>
      <c r="J389">
        <v>0.7</v>
      </c>
      <c r="K389">
        <v>1378.3</v>
      </c>
      <c r="L389">
        <v>511.94</v>
      </c>
    </row>
    <row r="390" spans="1:12" x14ac:dyDescent="0.25">
      <c r="A390">
        <v>389</v>
      </c>
      <c r="B390" t="s">
        <v>211</v>
      </c>
      <c r="C390" t="s">
        <v>363</v>
      </c>
      <c r="D390" t="s">
        <v>369</v>
      </c>
      <c r="E390" t="s">
        <v>394</v>
      </c>
      <c r="F390" t="s">
        <v>482</v>
      </c>
      <c r="G390">
        <v>3045</v>
      </c>
      <c r="H390">
        <v>1.03</v>
      </c>
      <c r="I390">
        <v>3136.35</v>
      </c>
      <c r="J390">
        <v>0.76</v>
      </c>
      <c r="K390">
        <v>2314.1999999999998</v>
      </c>
      <c r="L390">
        <v>822.15</v>
      </c>
    </row>
    <row r="391" spans="1:12" x14ac:dyDescent="0.25">
      <c r="A391">
        <v>390</v>
      </c>
      <c r="B391" t="s">
        <v>264</v>
      </c>
      <c r="C391" t="s">
        <v>366</v>
      </c>
      <c r="D391" t="s">
        <v>370</v>
      </c>
      <c r="E391" t="s">
        <v>386</v>
      </c>
      <c r="F391" t="s">
        <v>479</v>
      </c>
      <c r="G391">
        <v>2989</v>
      </c>
      <c r="H391">
        <v>1.32</v>
      </c>
      <c r="I391">
        <v>3945.48</v>
      </c>
      <c r="J391">
        <v>0.87</v>
      </c>
      <c r="K391">
        <v>2600.4299999999998</v>
      </c>
      <c r="L391">
        <v>1345.05</v>
      </c>
    </row>
    <row r="392" spans="1:12" x14ac:dyDescent="0.25">
      <c r="A392">
        <v>391</v>
      </c>
      <c r="B392" t="s">
        <v>153</v>
      </c>
      <c r="C392" t="s">
        <v>366</v>
      </c>
      <c r="D392" t="s">
        <v>369</v>
      </c>
      <c r="E392" t="s">
        <v>469</v>
      </c>
      <c r="F392" t="s">
        <v>476</v>
      </c>
      <c r="G392">
        <v>2508</v>
      </c>
      <c r="H392">
        <v>0.91</v>
      </c>
      <c r="I392">
        <v>2282.2800000000002</v>
      </c>
      <c r="J392">
        <v>0.76</v>
      </c>
      <c r="K392">
        <v>1906.08</v>
      </c>
      <c r="L392">
        <v>376.2</v>
      </c>
    </row>
    <row r="393" spans="1:12" x14ac:dyDescent="0.25">
      <c r="A393">
        <v>392</v>
      </c>
      <c r="B393" t="s">
        <v>265</v>
      </c>
      <c r="C393" t="s">
        <v>365</v>
      </c>
      <c r="D393" t="s">
        <v>368</v>
      </c>
      <c r="E393" t="s">
        <v>436</v>
      </c>
      <c r="F393" t="s">
        <v>472</v>
      </c>
      <c r="G393">
        <v>3244</v>
      </c>
      <c r="H393">
        <v>0.8</v>
      </c>
      <c r="I393">
        <v>2595.1999999999998</v>
      </c>
      <c r="J393">
        <v>0.61</v>
      </c>
      <c r="K393">
        <v>1978.84</v>
      </c>
      <c r="L393">
        <v>616.36</v>
      </c>
    </row>
    <row r="394" spans="1:12" x14ac:dyDescent="0.25">
      <c r="A394">
        <v>393</v>
      </c>
      <c r="B394" t="s">
        <v>28</v>
      </c>
      <c r="C394" t="s">
        <v>366</v>
      </c>
      <c r="D394" t="s">
        <v>367</v>
      </c>
      <c r="E394" t="s">
        <v>442</v>
      </c>
      <c r="F394" t="s">
        <v>477</v>
      </c>
      <c r="G394">
        <v>3939</v>
      </c>
      <c r="H394">
        <v>1.1399999999999999</v>
      </c>
      <c r="I394">
        <v>4490.46</v>
      </c>
      <c r="J394">
        <v>0.7</v>
      </c>
      <c r="K394">
        <v>2757.3</v>
      </c>
      <c r="L394">
        <v>1733.16</v>
      </c>
    </row>
    <row r="395" spans="1:12" x14ac:dyDescent="0.25">
      <c r="A395">
        <v>394</v>
      </c>
      <c r="B395" t="s">
        <v>103</v>
      </c>
      <c r="C395" t="s">
        <v>363</v>
      </c>
      <c r="D395" t="s">
        <v>370</v>
      </c>
      <c r="E395" t="s">
        <v>377</v>
      </c>
      <c r="F395" t="s">
        <v>477</v>
      </c>
      <c r="G395">
        <v>4757</v>
      </c>
      <c r="H395">
        <v>1.0900000000000001</v>
      </c>
      <c r="I395">
        <v>5185.13</v>
      </c>
      <c r="J395">
        <v>0.9</v>
      </c>
      <c r="K395">
        <v>4281.3</v>
      </c>
      <c r="L395">
        <v>903.83</v>
      </c>
    </row>
    <row r="396" spans="1:12" x14ac:dyDescent="0.25">
      <c r="A396">
        <v>395</v>
      </c>
      <c r="B396" t="s">
        <v>172</v>
      </c>
      <c r="C396" t="s">
        <v>363</v>
      </c>
      <c r="D396" t="s">
        <v>367</v>
      </c>
      <c r="E396" t="s">
        <v>405</v>
      </c>
      <c r="F396" t="s">
        <v>474</v>
      </c>
      <c r="G396">
        <v>3730</v>
      </c>
      <c r="H396">
        <v>0.85</v>
      </c>
      <c r="I396">
        <v>3170.5</v>
      </c>
      <c r="J396">
        <v>0.63</v>
      </c>
      <c r="K396">
        <v>2349.9</v>
      </c>
      <c r="L396">
        <v>820.6</v>
      </c>
    </row>
    <row r="397" spans="1:12" x14ac:dyDescent="0.25">
      <c r="A397">
        <v>396</v>
      </c>
      <c r="B397" t="s">
        <v>260</v>
      </c>
      <c r="C397" t="s">
        <v>366</v>
      </c>
      <c r="D397" t="s">
        <v>368</v>
      </c>
      <c r="E397" t="s">
        <v>386</v>
      </c>
      <c r="F397" t="s">
        <v>471</v>
      </c>
      <c r="G397">
        <v>3080</v>
      </c>
      <c r="H397">
        <v>1.45</v>
      </c>
      <c r="I397">
        <v>4466</v>
      </c>
      <c r="J397">
        <v>1.01</v>
      </c>
      <c r="K397">
        <v>3110.8</v>
      </c>
      <c r="L397">
        <v>1355.2</v>
      </c>
    </row>
    <row r="398" spans="1:12" x14ac:dyDescent="0.25">
      <c r="A398">
        <v>397</v>
      </c>
      <c r="B398" t="s">
        <v>196</v>
      </c>
      <c r="C398" t="s">
        <v>364</v>
      </c>
      <c r="D398" t="s">
        <v>370</v>
      </c>
      <c r="E398" t="s">
        <v>412</v>
      </c>
      <c r="F398" t="s">
        <v>477</v>
      </c>
      <c r="G398">
        <v>1111</v>
      </c>
      <c r="H398">
        <v>1.46</v>
      </c>
      <c r="I398">
        <v>1622.06</v>
      </c>
      <c r="J398">
        <v>0.93</v>
      </c>
      <c r="K398">
        <v>1033.23</v>
      </c>
      <c r="L398">
        <v>588.83000000000004</v>
      </c>
    </row>
    <row r="399" spans="1:12" x14ac:dyDescent="0.25">
      <c r="A399">
        <v>398</v>
      </c>
      <c r="B399" t="s">
        <v>23</v>
      </c>
      <c r="C399" t="s">
        <v>366</v>
      </c>
      <c r="D399" t="s">
        <v>367</v>
      </c>
      <c r="E399" t="s">
        <v>450</v>
      </c>
      <c r="F399" t="s">
        <v>480</v>
      </c>
      <c r="G399">
        <v>4182</v>
      </c>
      <c r="H399">
        <v>1.1299999999999999</v>
      </c>
      <c r="I399">
        <v>4725.66</v>
      </c>
      <c r="J399">
        <v>0.79</v>
      </c>
      <c r="K399">
        <v>3303.78</v>
      </c>
      <c r="L399">
        <v>1421.88</v>
      </c>
    </row>
    <row r="400" spans="1:12" x14ac:dyDescent="0.25">
      <c r="A400">
        <v>399</v>
      </c>
      <c r="B400" t="s">
        <v>17</v>
      </c>
      <c r="C400" t="s">
        <v>366</v>
      </c>
      <c r="D400" t="s">
        <v>370</v>
      </c>
      <c r="E400" t="s">
        <v>434</v>
      </c>
      <c r="F400" t="s">
        <v>482</v>
      </c>
      <c r="G400">
        <v>4295</v>
      </c>
      <c r="H400">
        <v>0.99</v>
      </c>
      <c r="I400">
        <v>4252.05</v>
      </c>
      <c r="J400">
        <v>0.62</v>
      </c>
      <c r="K400">
        <v>2662.9</v>
      </c>
      <c r="L400">
        <v>1589.15</v>
      </c>
    </row>
    <row r="401" spans="1:12" x14ac:dyDescent="0.25">
      <c r="A401">
        <v>400</v>
      </c>
      <c r="B401" t="s">
        <v>42</v>
      </c>
      <c r="C401" t="s">
        <v>363</v>
      </c>
      <c r="D401" t="s">
        <v>370</v>
      </c>
      <c r="E401" t="s">
        <v>381</v>
      </c>
      <c r="F401" t="s">
        <v>487</v>
      </c>
      <c r="G401">
        <v>1715</v>
      </c>
      <c r="H401">
        <v>0.86</v>
      </c>
      <c r="I401">
        <v>1474.9</v>
      </c>
      <c r="J401">
        <v>0.56999999999999995</v>
      </c>
      <c r="K401">
        <v>977.55</v>
      </c>
      <c r="L401">
        <v>497.35</v>
      </c>
    </row>
    <row r="402" spans="1:12" x14ac:dyDescent="0.25">
      <c r="A402">
        <v>401</v>
      </c>
      <c r="B402" t="s">
        <v>266</v>
      </c>
      <c r="C402" t="s">
        <v>363</v>
      </c>
      <c r="D402" t="s">
        <v>369</v>
      </c>
      <c r="E402" t="s">
        <v>414</v>
      </c>
      <c r="F402" t="s">
        <v>482</v>
      </c>
      <c r="G402">
        <v>2631</v>
      </c>
      <c r="H402">
        <v>1.37</v>
      </c>
      <c r="I402">
        <v>3604.47</v>
      </c>
      <c r="J402">
        <v>0.88</v>
      </c>
      <c r="K402">
        <v>2315.2800000000002</v>
      </c>
      <c r="L402">
        <v>1289.19</v>
      </c>
    </row>
    <row r="403" spans="1:12" x14ac:dyDescent="0.25">
      <c r="A403">
        <v>402</v>
      </c>
      <c r="B403" t="s">
        <v>243</v>
      </c>
      <c r="C403" t="s">
        <v>366</v>
      </c>
      <c r="D403" t="s">
        <v>369</v>
      </c>
      <c r="E403" t="s">
        <v>462</v>
      </c>
      <c r="F403" t="s">
        <v>473</v>
      </c>
      <c r="G403">
        <v>1334</v>
      </c>
      <c r="H403">
        <v>1.36</v>
      </c>
      <c r="I403">
        <v>1814.24</v>
      </c>
      <c r="J403">
        <v>0.86</v>
      </c>
      <c r="K403">
        <v>1147.24</v>
      </c>
      <c r="L403">
        <v>667</v>
      </c>
    </row>
    <row r="404" spans="1:12" x14ac:dyDescent="0.25">
      <c r="A404">
        <v>403</v>
      </c>
      <c r="B404" t="s">
        <v>267</v>
      </c>
      <c r="C404" t="s">
        <v>366</v>
      </c>
      <c r="D404" t="s">
        <v>367</v>
      </c>
      <c r="E404" t="s">
        <v>410</v>
      </c>
      <c r="F404" t="s">
        <v>485</v>
      </c>
      <c r="G404">
        <v>3781</v>
      </c>
      <c r="H404">
        <v>1.06</v>
      </c>
      <c r="I404">
        <v>4007.86</v>
      </c>
      <c r="J404">
        <v>0.8</v>
      </c>
      <c r="K404">
        <v>3024.8</v>
      </c>
      <c r="L404">
        <v>983.06</v>
      </c>
    </row>
    <row r="405" spans="1:12" x14ac:dyDescent="0.25">
      <c r="A405">
        <v>404</v>
      </c>
      <c r="B405" t="s">
        <v>45</v>
      </c>
      <c r="C405" t="s">
        <v>365</v>
      </c>
      <c r="D405" t="s">
        <v>367</v>
      </c>
      <c r="E405" t="s">
        <v>392</v>
      </c>
      <c r="F405" t="s">
        <v>472</v>
      </c>
      <c r="G405">
        <v>1028</v>
      </c>
      <c r="H405">
        <v>0.94</v>
      </c>
      <c r="I405">
        <v>966.32</v>
      </c>
      <c r="J405">
        <v>0.72</v>
      </c>
      <c r="K405">
        <v>740.16</v>
      </c>
      <c r="L405">
        <v>226.16</v>
      </c>
    </row>
    <row r="406" spans="1:12" x14ac:dyDescent="0.25">
      <c r="A406">
        <v>405</v>
      </c>
      <c r="B406" t="s">
        <v>63</v>
      </c>
      <c r="C406" t="s">
        <v>365</v>
      </c>
      <c r="D406" t="s">
        <v>367</v>
      </c>
      <c r="E406" t="s">
        <v>459</v>
      </c>
      <c r="F406" t="s">
        <v>478</v>
      </c>
      <c r="G406">
        <v>4276</v>
      </c>
      <c r="H406">
        <v>0.84</v>
      </c>
      <c r="I406">
        <v>3591.84</v>
      </c>
      <c r="J406">
        <v>0.7</v>
      </c>
      <c r="K406">
        <v>2993.2</v>
      </c>
      <c r="L406">
        <v>598.64</v>
      </c>
    </row>
    <row r="407" spans="1:12" x14ac:dyDescent="0.25">
      <c r="A407">
        <v>406</v>
      </c>
      <c r="B407" t="s">
        <v>105</v>
      </c>
      <c r="C407" t="s">
        <v>364</v>
      </c>
      <c r="D407" t="s">
        <v>369</v>
      </c>
      <c r="E407" t="s">
        <v>435</v>
      </c>
      <c r="F407" t="s">
        <v>484</v>
      </c>
      <c r="G407">
        <v>3995</v>
      </c>
      <c r="H407">
        <v>0.92</v>
      </c>
      <c r="I407">
        <v>3675.4</v>
      </c>
      <c r="J407">
        <v>0.6</v>
      </c>
      <c r="K407">
        <v>2397</v>
      </c>
      <c r="L407">
        <v>1278.4000000000001</v>
      </c>
    </row>
    <row r="408" spans="1:12" x14ac:dyDescent="0.25">
      <c r="A408">
        <v>407</v>
      </c>
      <c r="B408" t="s">
        <v>181</v>
      </c>
      <c r="C408" t="s">
        <v>365</v>
      </c>
      <c r="D408" t="s">
        <v>370</v>
      </c>
      <c r="E408" t="s">
        <v>434</v>
      </c>
      <c r="F408" t="s">
        <v>474</v>
      </c>
      <c r="G408">
        <v>783</v>
      </c>
      <c r="H408">
        <v>1.23</v>
      </c>
      <c r="I408">
        <v>963.09</v>
      </c>
      <c r="J408">
        <v>0.93</v>
      </c>
      <c r="K408">
        <v>728.19</v>
      </c>
      <c r="L408">
        <v>234.9</v>
      </c>
    </row>
    <row r="409" spans="1:12" x14ac:dyDescent="0.25">
      <c r="A409">
        <v>408</v>
      </c>
      <c r="B409" t="s">
        <v>238</v>
      </c>
      <c r="C409" t="s">
        <v>364</v>
      </c>
      <c r="D409" t="s">
        <v>370</v>
      </c>
      <c r="E409" t="s">
        <v>438</v>
      </c>
      <c r="F409" t="s">
        <v>476</v>
      </c>
      <c r="G409">
        <v>4424</v>
      </c>
      <c r="H409">
        <v>0.84</v>
      </c>
      <c r="I409">
        <v>3716.16</v>
      </c>
      <c r="J409">
        <v>0.56000000000000005</v>
      </c>
      <c r="K409">
        <v>2477.44</v>
      </c>
      <c r="L409">
        <v>1238.72</v>
      </c>
    </row>
    <row r="410" spans="1:12" x14ac:dyDescent="0.25">
      <c r="A410">
        <v>409</v>
      </c>
      <c r="B410" t="s">
        <v>195</v>
      </c>
      <c r="C410" t="s">
        <v>366</v>
      </c>
      <c r="D410" t="s">
        <v>369</v>
      </c>
      <c r="E410" t="s">
        <v>431</v>
      </c>
      <c r="F410" t="s">
        <v>490</v>
      </c>
      <c r="G410">
        <v>2541</v>
      </c>
      <c r="H410">
        <v>1.24</v>
      </c>
      <c r="I410">
        <v>3150.84</v>
      </c>
      <c r="J410">
        <v>0.99</v>
      </c>
      <c r="K410">
        <v>2515.59</v>
      </c>
      <c r="L410">
        <v>635.25</v>
      </c>
    </row>
    <row r="411" spans="1:12" x14ac:dyDescent="0.25">
      <c r="A411">
        <v>410</v>
      </c>
      <c r="B411" t="s">
        <v>268</v>
      </c>
      <c r="C411" t="s">
        <v>365</v>
      </c>
      <c r="D411" t="s">
        <v>369</v>
      </c>
      <c r="E411" t="s">
        <v>468</v>
      </c>
      <c r="F411" t="s">
        <v>476</v>
      </c>
      <c r="G411">
        <v>4470</v>
      </c>
      <c r="H411">
        <v>1.04</v>
      </c>
      <c r="I411">
        <v>4648.8</v>
      </c>
      <c r="J411">
        <v>0.77</v>
      </c>
      <c r="K411">
        <v>3441.9</v>
      </c>
      <c r="L411">
        <v>1206.9000000000001</v>
      </c>
    </row>
    <row r="412" spans="1:12" x14ac:dyDescent="0.25">
      <c r="A412">
        <v>411</v>
      </c>
      <c r="B412" t="s">
        <v>65</v>
      </c>
      <c r="C412" t="s">
        <v>365</v>
      </c>
      <c r="D412" t="s">
        <v>369</v>
      </c>
      <c r="E412" t="s">
        <v>401</v>
      </c>
      <c r="F412" t="s">
        <v>472</v>
      </c>
      <c r="G412">
        <v>3112</v>
      </c>
      <c r="H412">
        <v>1.22</v>
      </c>
      <c r="I412">
        <v>3796.64</v>
      </c>
      <c r="J412">
        <v>0.74</v>
      </c>
      <c r="K412">
        <v>2302.88</v>
      </c>
      <c r="L412">
        <v>1493.76</v>
      </c>
    </row>
    <row r="413" spans="1:12" x14ac:dyDescent="0.25">
      <c r="A413">
        <v>412</v>
      </c>
      <c r="B413" t="s">
        <v>269</v>
      </c>
      <c r="C413" t="s">
        <v>364</v>
      </c>
      <c r="D413" t="s">
        <v>367</v>
      </c>
      <c r="E413" t="s">
        <v>442</v>
      </c>
      <c r="F413" t="s">
        <v>475</v>
      </c>
      <c r="G413">
        <v>2406</v>
      </c>
      <c r="H413">
        <v>1.48</v>
      </c>
      <c r="I413">
        <v>3560.88</v>
      </c>
      <c r="J413">
        <v>0.93</v>
      </c>
      <c r="K413">
        <v>2237.58</v>
      </c>
      <c r="L413">
        <v>1323.3</v>
      </c>
    </row>
    <row r="414" spans="1:12" x14ac:dyDescent="0.25">
      <c r="A414">
        <v>413</v>
      </c>
      <c r="B414" t="s">
        <v>270</v>
      </c>
      <c r="C414" t="s">
        <v>365</v>
      </c>
      <c r="D414" t="s">
        <v>368</v>
      </c>
      <c r="E414" t="s">
        <v>379</v>
      </c>
      <c r="F414" t="s">
        <v>478</v>
      </c>
      <c r="G414">
        <v>2297</v>
      </c>
      <c r="H414">
        <v>1.2</v>
      </c>
      <c r="I414">
        <v>2756.4</v>
      </c>
      <c r="J414">
        <v>1.01</v>
      </c>
      <c r="K414">
        <v>2319.9699999999998</v>
      </c>
      <c r="L414">
        <v>436.43</v>
      </c>
    </row>
    <row r="415" spans="1:12" x14ac:dyDescent="0.25">
      <c r="A415">
        <v>414</v>
      </c>
      <c r="B415" t="s">
        <v>155</v>
      </c>
      <c r="C415" t="s">
        <v>366</v>
      </c>
      <c r="D415" t="s">
        <v>370</v>
      </c>
      <c r="E415" t="s">
        <v>445</v>
      </c>
      <c r="F415" t="s">
        <v>477</v>
      </c>
      <c r="G415">
        <v>3105</v>
      </c>
      <c r="H415">
        <v>1.36</v>
      </c>
      <c r="I415">
        <v>4222.8</v>
      </c>
      <c r="J415">
        <v>1.05</v>
      </c>
      <c r="K415">
        <v>3260.25</v>
      </c>
      <c r="L415">
        <v>962.55</v>
      </c>
    </row>
    <row r="416" spans="1:12" x14ac:dyDescent="0.25">
      <c r="A416">
        <v>415</v>
      </c>
      <c r="B416" t="s">
        <v>271</v>
      </c>
      <c r="C416" t="s">
        <v>365</v>
      </c>
      <c r="D416" t="s">
        <v>367</v>
      </c>
      <c r="E416" t="s">
        <v>433</v>
      </c>
      <c r="F416" t="s">
        <v>479</v>
      </c>
      <c r="G416">
        <v>1664</v>
      </c>
      <c r="H416">
        <v>1.19</v>
      </c>
      <c r="I416">
        <v>1980.16</v>
      </c>
      <c r="J416">
        <v>0.77</v>
      </c>
      <c r="K416">
        <v>1281.28</v>
      </c>
      <c r="L416">
        <v>698.88</v>
      </c>
    </row>
    <row r="417" spans="1:12" x14ac:dyDescent="0.25">
      <c r="A417">
        <v>416</v>
      </c>
      <c r="B417" t="s">
        <v>272</v>
      </c>
      <c r="C417" t="s">
        <v>366</v>
      </c>
      <c r="D417" t="s">
        <v>370</v>
      </c>
      <c r="E417" t="s">
        <v>387</v>
      </c>
      <c r="F417" t="s">
        <v>478</v>
      </c>
      <c r="G417">
        <v>1239</v>
      </c>
      <c r="H417">
        <v>0.84</v>
      </c>
      <c r="I417">
        <v>1040.76</v>
      </c>
      <c r="J417">
        <v>0.63</v>
      </c>
      <c r="K417">
        <v>780.57</v>
      </c>
      <c r="L417">
        <v>260.19</v>
      </c>
    </row>
    <row r="418" spans="1:12" x14ac:dyDescent="0.25">
      <c r="A418">
        <v>417</v>
      </c>
      <c r="B418" t="s">
        <v>81</v>
      </c>
      <c r="C418" t="s">
        <v>363</v>
      </c>
      <c r="D418" t="s">
        <v>369</v>
      </c>
      <c r="E418" t="s">
        <v>423</v>
      </c>
      <c r="F418" t="s">
        <v>489</v>
      </c>
      <c r="G418">
        <v>2150</v>
      </c>
      <c r="H418">
        <v>1.36</v>
      </c>
      <c r="I418">
        <v>2924</v>
      </c>
      <c r="J418">
        <v>0.93</v>
      </c>
      <c r="K418">
        <v>1999.5</v>
      </c>
      <c r="L418">
        <v>924.5</v>
      </c>
    </row>
    <row r="419" spans="1:12" x14ac:dyDescent="0.25">
      <c r="A419">
        <v>418</v>
      </c>
      <c r="B419" t="s">
        <v>273</v>
      </c>
      <c r="C419" t="s">
        <v>363</v>
      </c>
      <c r="D419" t="s">
        <v>370</v>
      </c>
      <c r="E419" t="s">
        <v>467</v>
      </c>
      <c r="F419" t="s">
        <v>474</v>
      </c>
      <c r="G419">
        <v>1660</v>
      </c>
      <c r="H419">
        <v>1.34</v>
      </c>
      <c r="I419">
        <v>2224.4</v>
      </c>
      <c r="J419">
        <v>1.0900000000000001</v>
      </c>
      <c r="K419">
        <v>1809.4</v>
      </c>
      <c r="L419">
        <v>415</v>
      </c>
    </row>
    <row r="420" spans="1:12" x14ac:dyDescent="0.25">
      <c r="A420">
        <v>419</v>
      </c>
      <c r="B420" t="s">
        <v>274</v>
      </c>
      <c r="C420" t="s">
        <v>365</v>
      </c>
      <c r="D420" t="s">
        <v>367</v>
      </c>
      <c r="E420" t="s">
        <v>453</v>
      </c>
      <c r="F420" t="s">
        <v>484</v>
      </c>
      <c r="G420">
        <v>1327</v>
      </c>
      <c r="H420">
        <v>1.04</v>
      </c>
      <c r="I420">
        <v>1380.08</v>
      </c>
      <c r="J420">
        <v>0.71</v>
      </c>
      <c r="K420">
        <v>942.17</v>
      </c>
      <c r="L420">
        <v>437.91</v>
      </c>
    </row>
    <row r="421" spans="1:12" x14ac:dyDescent="0.25">
      <c r="A421">
        <v>420</v>
      </c>
      <c r="B421" t="s">
        <v>42</v>
      </c>
      <c r="C421" t="s">
        <v>364</v>
      </c>
      <c r="D421" t="s">
        <v>369</v>
      </c>
      <c r="E421" t="s">
        <v>420</v>
      </c>
      <c r="F421" t="s">
        <v>487</v>
      </c>
      <c r="G421">
        <v>1927</v>
      </c>
      <c r="H421">
        <v>1.3</v>
      </c>
      <c r="I421">
        <v>2505.1</v>
      </c>
      <c r="J421">
        <v>0.96</v>
      </c>
      <c r="K421">
        <v>1849.92</v>
      </c>
      <c r="L421">
        <v>655.17999999999995</v>
      </c>
    </row>
    <row r="422" spans="1:12" x14ac:dyDescent="0.25">
      <c r="A422">
        <v>421</v>
      </c>
      <c r="B422" t="s">
        <v>275</v>
      </c>
      <c r="C422" t="s">
        <v>366</v>
      </c>
      <c r="D422" t="s">
        <v>370</v>
      </c>
      <c r="E422" t="s">
        <v>403</v>
      </c>
      <c r="F422" t="s">
        <v>479</v>
      </c>
      <c r="G422">
        <v>1936</v>
      </c>
      <c r="H422">
        <v>1.06</v>
      </c>
      <c r="I422">
        <v>2052.16</v>
      </c>
      <c r="J422">
        <v>0.83</v>
      </c>
      <c r="K422">
        <v>1606.88</v>
      </c>
      <c r="L422">
        <v>445.28</v>
      </c>
    </row>
    <row r="423" spans="1:12" x14ac:dyDescent="0.25">
      <c r="A423">
        <v>422</v>
      </c>
      <c r="B423" t="s">
        <v>120</v>
      </c>
      <c r="C423" t="s">
        <v>366</v>
      </c>
      <c r="D423" t="s">
        <v>368</v>
      </c>
      <c r="E423" t="s">
        <v>469</v>
      </c>
      <c r="F423" t="s">
        <v>472</v>
      </c>
      <c r="G423">
        <v>3707</v>
      </c>
      <c r="H423">
        <v>1.4</v>
      </c>
      <c r="I423">
        <v>5189.8</v>
      </c>
      <c r="J423">
        <v>1.1100000000000001</v>
      </c>
      <c r="K423">
        <v>4114.7700000000004</v>
      </c>
      <c r="L423">
        <v>1075.03</v>
      </c>
    </row>
    <row r="424" spans="1:12" x14ac:dyDescent="0.25">
      <c r="A424">
        <v>423</v>
      </c>
      <c r="B424" t="s">
        <v>206</v>
      </c>
      <c r="C424" t="s">
        <v>366</v>
      </c>
      <c r="D424" t="s">
        <v>367</v>
      </c>
      <c r="E424" t="s">
        <v>444</v>
      </c>
      <c r="F424" t="s">
        <v>487</v>
      </c>
      <c r="G424">
        <v>2309</v>
      </c>
      <c r="H424">
        <v>1.25</v>
      </c>
      <c r="I424">
        <v>2886.25</v>
      </c>
      <c r="J424">
        <v>0.78</v>
      </c>
      <c r="K424">
        <v>1801.02</v>
      </c>
      <c r="L424">
        <v>1085.23</v>
      </c>
    </row>
    <row r="425" spans="1:12" x14ac:dyDescent="0.25">
      <c r="A425">
        <v>424</v>
      </c>
      <c r="B425" t="s">
        <v>276</v>
      </c>
      <c r="C425" t="s">
        <v>365</v>
      </c>
      <c r="D425" t="s">
        <v>368</v>
      </c>
      <c r="E425" t="s">
        <v>432</v>
      </c>
      <c r="F425" t="s">
        <v>486</v>
      </c>
      <c r="G425">
        <v>2449</v>
      </c>
      <c r="H425">
        <v>1.04</v>
      </c>
      <c r="I425">
        <v>2546.96</v>
      </c>
      <c r="J425">
        <v>0.71</v>
      </c>
      <c r="K425">
        <v>1738.79</v>
      </c>
      <c r="L425">
        <v>808.17</v>
      </c>
    </row>
    <row r="426" spans="1:12" x14ac:dyDescent="0.25">
      <c r="A426">
        <v>425</v>
      </c>
      <c r="B426" t="s">
        <v>277</v>
      </c>
      <c r="C426" t="s">
        <v>365</v>
      </c>
      <c r="D426" t="s">
        <v>367</v>
      </c>
      <c r="E426" t="s">
        <v>434</v>
      </c>
      <c r="F426" t="s">
        <v>472</v>
      </c>
      <c r="G426">
        <v>2672</v>
      </c>
      <c r="H426">
        <v>0.95</v>
      </c>
      <c r="I426">
        <v>2538.4</v>
      </c>
      <c r="J426">
        <v>0.73</v>
      </c>
      <c r="K426">
        <v>1950.56</v>
      </c>
      <c r="L426">
        <v>587.84</v>
      </c>
    </row>
    <row r="427" spans="1:12" x14ac:dyDescent="0.25">
      <c r="A427">
        <v>426</v>
      </c>
      <c r="B427" t="s">
        <v>80</v>
      </c>
      <c r="C427" t="s">
        <v>363</v>
      </c>
      <c r="D427" t="s">
        <v>370</v>
      </c>
      <c r="E427" t="s">
        <v>451</v>
      </c>
      <c r="F427" t="s">
        <v>472</v>
      </c>
      <c r="G427">
        <v>894</v>
      </c>
      <c r="H427">
        <v>1.07</v>
      </c>
      <c r="I427">
        <v>956.58</v>
      </c>
      <c r="J427">
        <v>0.84</v>
      </c>
      <c r="K427">
        <v>750.96</v>
      </c>
      <c r="L427">
        <v>205.62</v>
      </c>
    </row>
    <row r="428" spans="1:12" x14ac:dyDescent="0.25">
      <c r="A428">
        <v>427</v>
      </c>
      <c r="B428" t="s">
        <v>249</v>
      </c>
      <c r="C428" t="s">
        <v>364</v>
      </c>
      <c r="D428" t="s">
        <v>369</v>
      </c>
      <c r="E428" t="s">
        <v>464</v>
      </c>
      <c r="F428" t="s">
        <v>475</v>
      </c>
      <c r="G428">
        <v>4973</v>
      </c>
      <c r="H428">
        <v>1.06</v>
      </c>
      <c r="I428">
        <v>5271.38</v>
      </c>
      <c r="J428">
        <v>0.86</v>
      </c>
      <c r="K428">
        <v>4276.78</v>
      </c>
      <c r="L428">
        <v>994.6</v>
      </c>
    </row>
    <row r="429" spans="1:12" x14ac:dyDescent="0.25">
      <c r="A429">
        <v>428</v>
      </c>
      <c r="B429" t="s">
        <v>278</v>
      </c>
      <c r="C429" t="s">
        <v>366</v>
      </c>
      <c r="D429" t="s">
        <v>368</v>
      </c>
      <c r="E429" t="s">
        <v>434</v>
      </c>
      <c r="F429" t="s">
        <v>486</v>
      </c>
      <c r="G429">
        <v>773</v>
      </c>
      <c r="H429">
        <v>1.01</v>
      </c>
      <c r="I429">
        <v>780.73</v>
      </c>
      <c r="J429">
        <v>0.69</v>
      </c>
      <c r="K429">
        <v>533.37</v>
      </c>
      <c r="L429">
        <v>247.36</v>
      </c>
    </row>
    <row r="430" spans="1:12" x14ac:dyDescent="0.25">
      <c r="A430">
        <v>429</v>
      </c>
      <c r="B430" t="s">
        <v>279</v>
      </c>
      <c r="C430" t="s">
        <v>365</v>
      </c>
      <c r="D430" t="s">
        <v>367</v>
      </c>
      <c r="E430" t="s">
        <v>397</v>
      </c>
      <c r="F430" t="s">
        <v>484</v>
      </c>
      <c r="G430">
        <v>1818</v>
      </c>
      <c r="H430">
        <v>1.31</v>
      </c>
      <c r="I430">
        <v>2381.58</v>
      </c>
      <c r="J430">
        <v>0.97</v>
      </c>
      <c r="K430">
        <v>1763.46</v>
      </c>
      <c r="L430">
        <v>618.12</v>
      </c>
    </row>
    <row r="431" spans="1:12" x14ac:dyDescent="0.25">
      <c r="A431">
        <v>430</v>
      </c>
      <c r="B431" t="s">
        <v>16</v>
      </c>
      <c r="C431" t="s">
        <v>364</v>
      </c>
      <c r="D431" t="s">
        <v>370</v>
      </c>
      <c r="E431" t="s">
        <v>453</v>
      </c>
      <c r="F431" t="s">
        <v>472</v>
      </c>
      <c r="G431">
        <v>4033</v>
      </c>
      <c r="H431">
        <v>1.46</v>
      </c>
      <c r="I431">
        <v>5888.18</v>
      </c>
      <c r="J431">
        <v>0.94</v>
      </c>
      <c r="K431">
        <v>3791.02</v>
      </c>
      <c r="L431">
        <v>2097.16</v>
      </c>
    </row>
    <row r="432" spans="1:12" x14ac:dyDescent="0.25">
      <c r="A432">
        <v>431</v>
      </c>
      <c r="B432" t="s">
        <v>260</v>
      </c>
      <c r="C432" t="s">
        <v>363</v>
      </c>
      <c r="D432" t="s">
        <v>368</v>
      </c>
      <c r="E432" t="s">
        <v>462</v>
      </c>
      <c r="F432" t="s">
        <v>487</v>
      </c>
      <c r="G432">
        <v>2183</v>
      </c>
      <c r="H432">
        <v>1.48</v>
      </c>
      <c r="I432">
        <v>3230.84</v>
      </c>
      <c r="J432">
        <v>1.04</v>
      </c>
      <c r="K432">
        <v>2270.3200000000002</v>
      </c>
      <c r="L432">
        <v>960.52</v>
      </c>
    </row>
    <row r="433" spans="1:12" x14ac:dyDescent="0.25">
      <c r="A433">
        <v>432</v>
      </c>
      <c r="B433" t="s">
        <v>48</v>
      </c>
      <c r="C433" t="s">
        <v>365</v>
      </c>
      <c r="D433" t="s">
        <v>370</v>
      </c>
      <c r="E433" t="s">
        <v>443</v>
      </c>
      <c r="F433" t="s">
        <v>477</v>
      </c>
      <c r="G433">
        <v>1285</v>
      </c>
      <c r="H433">
        <v>0.83</v>
      </c>
      <c r="I433">
        <v>1066.55</v>
      </c>
      <c r="J433">
        <v>0.62</v>
      </c>
      <c r="K433">
        <v>796.7</v>
      </c>
      <c r="L433">
        <v>269.85000000000002</v>
      </c>
    </row>
    <row r="434" spans="1:12" x14ac:dyDescent="0.25">
      <c r="A434">
        <v>433</v>
      </c>
      <c r="B434" t="s">
        <v>96</v>
      </c>
      <c r="C434" t="s">
        <v>363</v>
      </c>
      <c r="D434" t="s">
        <v>368</v>
      </c>
      <c r="E434" t="s">
        <v>383</v>
      </c>
      <c r="F434" t="s">
        <v>472</v>
      </c>
      <c r="G434">
        <v>4002</v>
      </c>
      <c r="H434">
        <v>0.86</v>
      </c>
      <c r="I434">
        <v>3441.72</v>
      </c>
      <c r="J434">
        <v>0.69</v>
      </c>
      <c r="K434">
        <v>2761.38</v>
      </c>
      <c r="L434">
        <v>680.34</v>
      </c>
    </row>
    <row r="435" spans="1:12" x14ac:dyDescent="0.25">
      <c r="A435">
        <v>434</v>
      </c>
      <c r="B435" t="s">
        <v>72</v>
      </c>
      <c r="C435" t="s">
        <v>366</v>
      </c>
      <c r="D435" t="s">
        <v>369</v>
      </c>
      <c r="E435" t="s">
        <v>462</v>
      </c>
      <c r="F435" t="s">
        <v>472</v>
      </c>
      <c r="G435">
        <v>2195</v>
      </c>
      <c r="H435">
        <v>0.92</v>
      </c>
      <c r="I435">
        <v>2019.4</v>
      </c>
      <c r="J435">
        <v>0.62</v>
      </c>
      <c r="K435">
        <v>1360.9</v>
      </c>
      <c r="L435">
        <v>658.5</v>
      </c>
    </row>
    <row r="436" spans="1:12" x14ac:dyDescent="0.25">
      <c r="A436">
        <v>435</v>
      </c>
      <c r="B436" t="s">
        <v>117</v>
      </c>
      <c r="C436" t="s">
        <v>363</v>
      </c>
      <c r="D436" t="s">
        <v>369</v>
      </c>
      <c r="E436" t="s">
        <v>428</v>
      </c>
      <c r="F436" t="s">
        <v>484</v>
      </c>
      <c r="G436">
        <v>4357</v>
      </c>
      <c r="H436">
        <v>1.1399999999999999</v>
      </c>
      <c r="I436">
        <v>4966.9799999999996</v>
      </c>
      <c r="J436">
        <v>0.87</v>
      </c>
      <c r="K436">
        <v>3790.59</v>
      </c>
      <c r="L436">
        <v>1176.3900000000001</v>
      </c>
    </row>
    <row r="437" spans="1:12" x14ac:dyDescent="0.25">
      <c r="A437">
        <v>436</v>
      </c>
      <c r="B437" t="s">
        <v>280</v>
      </c>
      <c r="C437" t="s">
        <v>366</v>
      </c>
      <c r="D437" t="s">
        <v>369</v>
      </c>
      <c r="E437" t="s">
        <v>466</v>
      </c>
      <c r="F437" t="s">
        <v>484</v>
      </c>
      <c r="G437">
        <v>3526</v>
      </c>
      <c r="H437">
        <v>0.93</v>
      </c>
      <c r="I437">
        <v>3279.18</v>
      </c>
      <c r="J437">
        <v>0.56999999999999995</v>
      </c>
      <c r="K437">
        <v>2009.82</v>
      </c>
      <c r="L437">
        <v>1269.3599999999999</v>
      </c>
    </row>
    <row r="438" spans="1:12" x14ac:dyDescent="0.25">
      <c r="A438">
        <v>437</v>
      </c>
      <c r="B438" t="s">
        <v>160</v>
      </c>
      <c r="C438" t="s">
        <v>365</v>
      </c>
      <c r="D438" t="s">
        <v>369</v>
      </c>
      <c r="E438" t="s">
        <v>373</v>
      </c>
      <c r="F438" t="s">
        <v>471</v>
      </c>
      <c r="G438">
        <v>1004</v>
      </c>
      <c r="H438">
        <v>0.91</v>
      </c>
      <c r="I438">
        <v>913.64</v>
      </c>
      <c r="J438">
        <v>0.7</v>
      </c>
      <c r="K438">
        <v>702.8</v>
      </c>
      <c r="L438">
        <v>210.84</v>
      </c>
    </row>
    <row r="439" spans="1:12" x14ac:dyDescent="0.25">
      <c r="A439">
        <v>438</v>
      </c>
      <c r="B439" t="s">
        <v>281</v>
      </c>
      <c r="C439" t="s">
        <v>365</v>
      </c>
      <c r="D439" t="s">
        <v>367</v>
      </c>
      <c r="E439" t="s">
        <v>470</v>
      </c>
      <c r="F439" t="s">
        <v>481</v>
      </c>
      <c r="G439">
        <v>2363</v>
      </c>
      <c r="H439">
        <v>1.19</v>
      </c>
      <c r="I439">
        <v>2811.97</v>
      </c>
      <c r="J439">
        <v>0.96</v>
      </c>
      <c r="K439">
        <v>2268.48</v>
      </c>
      <c r="L439">
        <v>543.49</v>
      </c>
    </row>
    <row r="440" spans="1:12" x14ac:dyDescent="0.25">
      <c r="A440">
        <v>439</v>
      </c>
      <c r="B440" t="s">
        <v>86</v>
      </c>
      <c r="C440" t="s">
        <v>364</v>
      </c>
      <c r="D440" t="s">
        <v>369</v>
      </c>
      <c r="E440" t="s">
        <v>415</v>
      </c>
      <c r="F440" t="s">
        <v>477</v>
      </c>
      <c r="G440">
        <v>4401</v>
      </c>
      <c r="H440">
        <v>1.01</v>
      </c>
      <c r="I440">
        <v>4445.01</v>
      </c>
      <c r="J440">
        <v>0.71</v>
      </c>
      <c r="K440">
        <v>3124.71</v>
      </c>
      <c r="L440">
        <v>1320.3</v>
      </c>
    </row>
    <row r="441" spans="1:12" x14ac:dyDescent="0.25">
      <c r="A441">
        <v>440</v>
      </c>
      <c r="B441" t="s">
        <v>164</v>
      </c>
      <c r="C441" t="s">
        <v>366</v>
      </c>
      <c r="D441" t="s">
        <v>367</v>
      </c>
      <c r="E441" t="s">
        <v>459</v>
      </c>
      <c r="F441" t="s">
        <v>473</v>
      </c>
      <c r="G441">
        <v>1916</v>
      </c>
      <c r="H441">
        <v>1.46</v>
      </c>
      <c r="I441">
        <v>2797.36</v>
      </c>
      <c r="J441">
        <v>0.94</v>
      </c>
      <c r="K441">
        <v>1801.04</v>
      </c>
      <c r="L441">
        <v>996.32</v>
      </c>
    </row>
    <row r="442" spans="1:12" x14ac:dyDescent="0.25">
      <c r="A442">
        <v>441</v>
      </c>
      <c r="B442" t="s">
        <v>148</v>
      </c>
      <c r="C442" t="s">
        <v>366</v>
      </c>
      <c r="D442" t="s">
        <v>368</v>
      </c>
      <c r="E442" t="s">
        <v>377</v>
      </c>
      <c r="F442" t="s">
        <v>481</v>
      </c>
      <c r="G442">
        <v>1141</v>
      </c>
      <c r="H442">
        <v>1.49</v>
      </c>
      <c r="I442">
        <v>1700.09</v>
      </c>
      <c r="J442">
        <v>1.06</v>
      </c>
      <c r="K442">
        <v>1209.46</v>
      </c>
      <c r="L442">
        <v>490.63</v>
      </c>
    </row>
    <row r="443" spans="1:12" x14ac:dyDescent="0.25">
      <c r="A443">
        <v>442</v>
      </c>
      <c r="B443" t="s">
        <v>262</v>
      </c>
      <c r="C443" t="s">
        <v>365</v>
      </c>
      <c r="D443" t="s">
        <v>368</v>
      </c>
      <c r="E443" t="s">
        <v>404</v>
      </c>
      <c r="F443" t="s">
        <v>486</v>
      </c>
      <c r="G443">
        <v>1212</v>
      </c>
      <c r="H443">
        <v>1.07</v>
      </c>
      <c r="I443">
        <v>1296.8399999999999</v>
      </c>
      <c r="J443">
        <v>0.75</v>
      </c>
      <c r="K443">
        <v>909</v>
      </c>
      <c r="L443">
        <v>387.84</v>
      </c>
    </row>
    <row r="444" spans="1:12" x14ac:dyDescent="0.25">
      <c r="A444">
        <v>443</v>
      </c>
      <c r="B444" t="s">
        <v>88</v>
      </c>
      <c r="C444" t="s">
        <v>364</v>
      </c>
      <c r="D444" t="s">
        <v>370</v>
      </c>
      <c r="E444" t="s">
        <v>447</v>
      </c>
      <c r="F444" t="s">
        <v>489</v>
      </c>
      <c r="G444">
        <v>4780</v>
      </c>
      <c r="H444">
        <v>1.35</v>
      </c>
      <c r="I444">
        <v>6453</v>
      </c>
      <c r="J444">
        <v>0.85</v>
      </c>
      <c r="K444">
        <v>4063</v>
      </c>
      <c r="L444">
        <v>2390</v>
      </c>
    </row>
    <row r="445" spans="1:12" x14ac:dyDescent="0.25">
      <c r="A445">
        <v>444</v>
      </c>
      <c r="B445" t="s">
        <v>166</v>
      </c>
      <c r="C445" t="s">
        <v>363</v>
      </c>
      <c r="D445" t="s">
        <v>368</v>
      </c>
      <c r="E445" t="s">
        <v>450</v>
      </c>
      <c r="F445" t="s">
        <v>479</v>
      </c>
      <c r="G445">
        <v>1327</v>
      </c>
      <c r="H445">
        <v>1.35</v>
      </c>
      <c r="I445">
        <v>1791.45</v>
      </c>
      <c r="J445">
        <v>1.1000000000000001</v>
      </c>
      <c r="K445">
        <v>1459.7</v>
      </c>
      <c r="L445">
        <v>331.75</v>
      </c>
    </row>
    <row r="446" spans="1:12" x14ac:dyDescent="0.25">
      <c r="A446">
        <v>445</v>
      </c>
      <c r="B446" t="s">
        <v>192</v>
      </c>
      <c r="C446" t="s">
        <v>365</v>
      </c>
      <c r="D446" t="s">
        <v>369</v>
      </c>
      <c r="E446" t="s">
        <v>440</v>
      </c>
      <c r="F446" t="s">
        <v>483</v>
      </c>
      <c r="G446">
        <v>4375</v>
      </c>
      <c r="H446">
        <v>0.83</v>
      </c>
      <c r="I446">
        <v>3631.25</v>
      </c>
      <c r="J446">
        <v>0.56000000000000005</v>
      </c>
      <c r="K446">
        <v>2450</v>
      </c>
      <c r="L446">
        <v>1181.25</v>
      </c>
    </row>
    <row r="447" spans="1:12" x14ac:dyDescent="0.25">
      <c r="A447">
        <v>446</v>
      </c>
      <c r="B447" t="s">
        <v>282</v>
      </c>
      <c r="C447" t="s">
        <v>363</v>
      </c>
      <c r="D447" t="s">
        <v>369</v>
      </c>
      <c r="E447" t="s">
        <v>455</v>
      </c>
      <c r="F447" t="s">
        <v>487</v>
      </c>
      <c r="G447">
        <v>2446</v>
      </c>
      <c r="H447">
        <v>0.83</v>
      </c>
      <c r="I447">
        <v>2030.18</v>
      </c>
      <c r="J447">
        <v>0.6</v>
      </c>
      <c r="K447">
        <v>1467.6</v>
      </c>
      <c r="L447">
        <v>562.58000000000004</v>
      </c>
    </row>
    <row r="448" spans="1:12" x14ac:dyDescent="0.25">
      <c r="A448">
        <v>447</v>
      </c>
      <c r="B448" t="s">
        <v>217</v>
      </c>
      <c r="C448" t="s">
        <v>363</v>
      </c>
      <c r="D448" t="s">
        <v>370</v>
      </c>
      <c r="E448" t="s">
        <v>425</v>
      </c>
      <c r="F448" t="s">
        <v>482</v>
      </c>
      <c r="G448">
        <v>3047</v>
      </c>
      <c r="H448">
        <v>1</v>
      </c>
      <c r="I448">
        <v>3047</v>
      </c>
      <c r="J448">
        <v>0.72</v>
      </c>
      <c r="K448">
        <v>2193.84</v>
      </c>
      <c r="L448">
        <v>853.16</v>
      </c>
    </row>
    <row r="449" spans="1:12" x14ac:dyDescent="0.25">
      <c r="A449">
        <v>448</v>
      </c>
      <c r="B449" t="s">
        <v>70</v>
      </c>
      <c r="C449" t="s">
        <v>366</v>
      </c>
      <c r="D449" t="s">
        <v>367</v>
      </c>
      <c r="E449" t="s">
        <v>457</v>
      </c>
      <c r="F449" t="s">
        <v>482</v>
      </c>
      <c r="G449">
        <v>4129</v>
      </c>
      <c r="H449">
        <v>1.34</v>
      </c>
      <c r="I449">
        <v>5532.86</v>
      </c>
      <c r="J449">
        <v>0.91</v>
      </c>
      <c r="K449">
        <v>3757.39</v>
      </c>
      <c r="L449">
        <v>1775.47</v>
      </c>
    </row>
    <row r="450" spans="1:12" x14ac:dyDescent="0.25">
      <c r="A450">
        <v>449</v>
      </c>
      <c r="B450" t="s">
        <v>190</v>
      </c>
      <c r="C450" t="s">
        <v>366</v>
      </c>
      <c r="D450" t="s">
        <v>367</v>
      </c>
      <c r="E450" t="s">
        <v>396</v>
      </c>
      <c r="F450" t="s">
        <v>485</v>
      </c>
      <c r="G450">
        <v>3835</v>
      </c>
      <c r="H450">
        <v>1.32</v>
      </c>
      <c r="I450">
        <v>5062.2</v>
      </c>
      <c r="J450">
        <v>1.04</v>
      </c>
      <c r="K450">
        <v>3988.4</v>
      </c>
      <c r="L450">
        <v>1073.8</v>
      </c>
    </row>
    <row r="451" spans="1:12" x14ac:dyDescent="0.25">
      <c r="A451">
        <v>450</v>
      </c>
      <c r="B451" t="s">
        <v>163</v>
      </c>
      <c r="C451" t="s">
        <v>366</v>
      </c>
      <c r="D451" t="s">
        <v>367</v>
      </c>
      <c r="E451" t="s">
        <v>458</v>
      </c>
      <c r="F451" t="s">
        <v>482</v>
      </c>
      <c r="G451">
        <v>4651</v>
      </c>
      <c r="H451">
        <v>1.08</v>
      </c>
      <c r="I451">
        <v>5023.08</v>
      </c>
      <c r="J451">
        <v>0.86</v>
      </c>
      <c r="K451">
        <v>3999.86</v>
      </c>
      <c r="L451">
        <v>1023.22</v>
      </c>
    </row>
    <row r="452" spans="1:12" x14ac:dyDescent="0.25">
      <c r="A452">
        <v>451</v>
      </c>
      <c r="B452" t="s">
        <v>283</v>
      </c>
      <c r="C452" t="s">
        <v>366</v>
      </c>
      <c r="D452" t="s">
        <v>367</v>
      </c>
      <c r="E452" t="s">
        <v>395</v>
      </c>
      <c r="F452" t="s">
        <v>485</v>
      </c>
      <c r="G452">
        <v>972</v>
      </c>
      <c r="H452">
        <v>0.97</v>
      </c>
      <c r="I452">
        <v>942.84</v>
      </c>
      <c r="J452">
        <v>0.69</v>
      </c>
      <c r="K452">
        <v>670.68</v>
      </c>
      <c r="L452">
        <v>272.16000000000003</v>
      </c>
    </row>
    <row r="453" spans="1:12" x14ac:dyDescent="0.25">
      <c r="A453">
        <v>452</v>
      </c>
      <c r="B453" t="s">
        <v>284</v>
      </c>
      <c r="C453" t="s">
        <v>365</v>
      </c>
      <c r="D453" t="s">
        <v>368</v>
      </c>
      <c r="E453" t="s">
        <v>466</v>
      </c>
      <c r="F453" t="s">
        <v>473</v>
      </c>
      <c r="G453">
        <v>4637</v>
      </c>
      <c r="H453">
        <v>1.08</v>
      </c>
      <c r="I453">
        <v>5007.96</v>
      </c>
      <c r="J453">
        <v>0.9</v>
      </c>
      <c r="K453">
        <v>4173.3</v>
      </c>
      <c r="L453">
        <v>834.66</v>
      </c>
    </row>
    <row r="454" spans="1:12" x14ac:dyDescent="0.25">
      <c r="A454">
        <v>453</v>
      </c>
      <c r="B454" t="s">
        <v>201</v>
      </c>
      <c r="C454" t="s">
        <v>366</v>
      </c>
      <c r="D454" t="s">
        <v>367</v>
      </c>
      <c r="E454" t="s">
        <v>466</v>
      </c>
      <c r="F454" t="s">
        <v>483</v>
      </c>
      <c r="G454">
        <v>4154</v>
      </c>
      <c r="H454">
        <v>0.92</v>
      </c>
      <c r="I454">
        <v>3821.68</v>
      </c>
      <c r="J454">
        <v>0.75</v>
      </c>
      <c r="K454">
        <v>3115.5</v>
      </c>
      <c r="L454">
        <v>706.18</v>
      </c>
    </row>
    <row r="455" spans="1:12" x14ac:dyDescent="0.25">
      <c r="A455">
        <v>454</v>
      </c>
      <c r="B455" t="s">
        <v>285</v>
      </c>
      <c r="C455" t="s">
        <v>365</v>
      </c>
      <c r="D455" t="s">
        <v>370</v>
      </c>
      <c r="E455" t="s">
        <v>406</v>
      </c>
      <c r="F455" t="s">
        <v>471</v>
      </c>
      <c r="G455">
        <v>1240</v>
      </c>
      <c r="H455">
        <v>1</v>
      </c>
      <c r="I455">
        <v>1240</v>
      </c>
      <c r="J455">
        <v>0.7</v>
      </c>
      <c r="K455">
        <v>868</v>
      </c>
      <c r="L455">
        <v>372</v>
      </c>
    </row>
    <row r="456" spans="1:12" x14ac:dyDescent="0.25">
      <c r="A456">
        <v>455</v>
      </c>
      <c r="B456" t="s">
        <v>205</v>
      </c>
      <c r="C456" t="s">
        <v>366</v>
      </c>
      <c r="D456" t="s">
        <v>368</v>
      </c>
      <c r="E456" t="s">
        <v>431</v>
      </c>
      <c r="F456" t="s">
        <v>477</v>
      </c>
      <c r="G456">
        <v>2193</v>
      </c>
      <c r="H456">
        <v>0.99</v>
      </c>
      <c r="I456">
        <v>2171.0700000000002</v>
      </c>
      <c r="J456">
        <v>0.7</v>
      </c>
      <c r="K456">
        <v>1535.1</v>
      </c>
      <c r="L456">
        <v>635.97</v>
      </c>
    </row>
    <row r="457" spans="1:12" x14ac:dyDescent="0.25">
      <c r="A457">
        <v>456</v>
      </c>
      <c r="B457" t="s">
        <v>81</v>
      </c>
      <c r="C457" t="s">
        <v>364</v>
      </c>
      <c r="D457" t="s">
        <v>367</v>
      </c>
      <c r="E457" t="s">
        <v>410</v>
      </c>
      <c r="F457" t="s">
        <v>480</v>
      </c>
      <c r="G457">
        <v>569</v>
      </c>
      <c r="H457">
        <v>0.96</v>
      </c>
      <c r="I457">
        <v>546.24</v>
      </c>
      <c r="J457">
        <v>0.72</v>
      </c>
      <c r="K457">
        <v>409.68</v>
      </c>
      <c r="L457">
        <v>136.56</v>
      </c>
    </row>
    <row r="458" spans="1:12" x14ac:dyDescent="0.25">
      <c r="A458">
        <v>457</v>
      </c>
      <c r="B458" t="s">
        <v>286</v>
      </c>
      <c r="C458" t="s">
        <v>364</v>
      </c>
      <c r="D458" t="s">
        <v>370</v>
      </c>
      <c r="E458" t="s">
        <v>464</v>
      </c>
      <c r="F458" t="s">
        <v>475</v>
      </c>
      <c r="G458">
        <v>4260</v>
      </c>
      <c r="H458">
        <v>0.98</v>
      </c>
      <c r="I458">
        <v>4174.8</v>
      </c>
      <c r="J458">
        <v>0.7</v>
      </c>
      <c r="K458">
        <v>2982</v>
      </c>
      <c r="L458">
        <v>1192.8</v>
      </c>
    </row>
    <row r="459" spans="1:12" x14ac:dyDescent="0.25">
      <c r="A459">
        <v>458</v>
      </c>
      <c r="B459" t="s">
        <v>13</v>
      </c>
      <c r="C459" t="s">
        <v>363</v>
      </c>
      <c r="D459" t="s">
        <v>369</v>
      </c>
      <c r="E459" t="s">
        <v>398</v>
      </c>
      <c r="F459" t="s">
        <v>490</v>
      </c>
      <c r="G459">
        <v>3565</v>
      </c>
      <c r="H459">
        <v>1.19</v>
      </c>
      <c r="I459">
        <v>4242.3500000000004</v>
      </c>
      <c r="J459">
        <v>0.89</v>
      </c>
      <c r="K459">
        <v>3172.85</v>
      </c>
      <c r="L459">
        <v>1069.5</v>
      </c>
    </row>
    <row r="460" spans="1:12" x14ac:dyDescent="0.25">
      <c r="A460">
        <v>459</v>
      </c>
      <c r="B460" t="s">
        <v>287</v>
      </c>
      <c r="C460" t="s">
        <v>363</v>
      </c>
      <c r="D460" t="s">
        <v>370</v>
      </c>
      <c r="E460" t="s">
        <v>468</v>
      </c>
      <c r="F460" t="s">
        <v>486</v>
      </c>
      <c r="G460">
        <v>3254</v>
      </c>
      <c r="H460">
        <v>1.49</v>
      </c>
      <c r="I460">
        <v>4848.46</v>
      </c>
      <c r="J460">
        <v>1.1299999999999999</v>
      </c>
      <c r="K460">
        <v>3677.02</v>
      </c>
      <c r="L460">
        <v>1171.44</v>
      </c>
    </row>
    <row r="461" spans="1:12" x14ac:dyDescent="0.25">
      <c r="A461">
        <v>460</v>
      </c>
      <c r="B461" t="s">
        <v>94</v>
      </c>
      <c r="C461" t="s">
        <v>365</v>
      </c>
      <c r="D461" t="s">
        <v>370</v>
      </c>
      <c r="E461" t="s">
        <v>395</v>
      </c>
      <c r="F461" t="s">
        <v>474</v>
      </c>
      <c r="G461">
        <v>4737</v>
      </c>
      <c r="H461">
        <v>1.34</v>
      </c>
      <c r="I461">
        <v>6347.58</v>
      </c>
      <c r="J461">
        <v>1.1100000000000001</v>
      </c>
      <c r="K461">
        <v>5258.07</v>
      </c>
      <c r="L461">
        <v>1089.51</v>
      </c>
    </row>
    <row r="462" spans="1:12" x14ac:dyDescent="0.25">
      <c r="A462">
        <v>461</v>
      </c>
      <c r="B462" t="s">
        <v>288</v>
      </c>
      <c r="C462" t="s">
        <v>365</v>
      </c>
      <c r="D462" t="s">
        <v>369</v>
      </c>
      <c r="E462" t="s">
        <v>411</v>
      </c>
      <c r="F462" t="s">
        <v>474</v>
      </c>
      <c r="G462">
        <v>708</v>
      </c>
      <c r="H462">
        <v>1.26</v>
      </c>
      <c r="I462">
        <v>892.08</v>
      </c>
      <c r="J462">
        <v>1.07</v>
      </c>
      <c r="K462">
        <v>757.56</v>
      </c>
      <c r="L462">
        <v>134.52000000000001</v>
      </c>
    </row>
    <row r="463" spans="1:12" x14ac:dyDescent="0.25">
      <c r="A463">
        <v>462</v>
      </c>
      <c r="B463" t="s">
        <v>289</v>
      </c>
      <c r="C463" t="s">
        <v>364</v>
      </c>
      <c r="D463" t="s">
        <v>369</v>
      </c>
      <c r="E463" t="s">
        <v>440</v>
      </c>
      <c r="F463" t="s">
        <v>478</v>
      </c>
      <c r="G463">
        <v>2055</v>
      </c>
      <c r="H463">
        <v>1.04</v>
      </c>
      <c r="I463">
        <v>2137.1999999999998</v>
      </c>
      <c r="J463">
        <v>0.81</v>
      </c>
      <c r="K463">
        <v>1664.55</v>
      </c>
      <c r="L463">
        <v>472.65</v>
      </c>
    </row>
    <row r="464" spans="1:12" x14ac:dyDescent="0.25">
      <c r="A464">
        <v>463</v>
      </c>
      <c r="B464" t="s">
        <v>98</v>
      </c>
      <c r="C464" t="s">
        <v>365</v>
      </c>
      <c r="D464" t="s">
        <v>369</v>
      </c>
      <c r="E464" t="s">
        <v>405</v>
      </c>
      <c r="F464" t="s">
        <v>482</v>
      </c>
      <c r="G464">
        <v>1892</v>
      </c>
      <c r="H464">
        <v>1.39</v>
      </c>
      <c r="I464">
        <v>2629.88</v>
      </c>
      <c r="J464">
        <v>1.1399999999999999</v>
      </c>
      <c r="K464">
        <v>2156.88</v>
      </c>
      <c r="L464">
        <v>473</v>
      </c>
    </row>
    <row r="465" spans="1:12" x14ac:dyDescent="0.25">
      <c r="A465">
        <v>464</v>
      </c>
      <c r="B465" t="s">
        <v>121</v>
      </c>
      <c r="C465" t="s">
        <v>363</v>
      </c>
      <c r="D465" t="s">
        <v>370</v>
      </c>
      <c r="E465" t="s">
        <v>393</v>
      </c>
      <c r="F465" t="s">
        <v>474</v>
      </c>
      <c r="G465">
        <v>2618</v>
      </c>
      <c r="H465">
        <v>1.31</v>
      </c>
      <c r="I465">
        <v>3429.58</v>
      </c>
      <c r="J465">
        <v>0.97</v>
      </c>
      <c r="K465">
        <v>2539.46</v>
      </c>
      <c r="L465">
        <v>890.12</v>
      </c>
    </row>
    <row r="466" spans="1:12" x14ac:dyDescent="0.25">
      <c r="A466">
        <v>465</v>
      </c>
      <c r="B466" t="s">
        <v>290</v>
      </c>
      <c r="C466" t="s">
        <v>363</v>
      </c>
      <c r="D466" t="s">
        <v>370</v>
      </c>
      <c r="E466" t="s">
        <v>373</v>
      </c>
      <c r="F466" t="s">
        <v>475</v>
      </c>
      <c r="G466">
        <v>2329</v>
      </c>
      <c r="H466">
        <v>1.32</v>
      </c>
      <c r="I466">
        <v>3074.28</v>
      </c>
      <c r="J466">
        <v>0.89</v>
      </c>
      <c r="K466">
        <v>2072.81</v>
      </c>
      <c r="L466">
        <v>1001.47</v>
      </c>
    </row>
    <row r="467" spans="1:12" x14ac:dyDescent="0.25">
      <c r="A467">
        <v>466</v>
      </c>
      <c r="B467" t="s">
        <v>33</v>
      </c>
      <c r="C467" t="s">
        <v>365</v>
      </c>
      <c r="D467" t="s">
        <v>370</v>
      </c>
      <c r="E467" t="s">
        <v>461</v>
      </c>
      <c r="F467" t="s">
        <v>482</v>
      </c>
      <c r="G467">
        <v>4299</v>
      </c>
      <c r="H467">
        <v>1.4</v>
      </c>
      <c r="I467">
        <v>6018.6</v>
      </c>
      <c r="J467">
        <v>1</v>
      </c>
      <c r="K467">
        <v>4299</v>
      </c>
      <c r="L467">
        <v>1719.6</v>
      </c>
    </row>
    <row r="468" spans="1:12" x14ac:dyDescent="0.25">
      <c r="A468">
        <v>467</v>
      </c>
      <c r="B468" t="s">
        <v>49</v>
      </c>
      <c r="C468" t="s">
        <v>364</v>
      </c>
      <c r="D468" t="s">
        <v>367</v>
      </c>
      <c r="E468" t="s">
        <v>395</v>
      </c>
      <c r="F468" t="s">
        <v>490</v>
      </c>
      <c r="G468">
        <v>1481</v>
      </c>
      <c r="H468">
        <v>1.41</v>
      </c>
      <c r="I468">
        <v>2088.21</v>
      </c>
      <c r="J468">
        <v>0.98</v>
      </c>
      <c r="K468">
        <v>1451.38</v>
      </c>
      <c r="L468">
        <v>636.83000000000004</v>
      </c>
    </row>
    <row r="469" spans="1:12" x14ac:dyDescent="0.25">
      <c r="A469">
        <v>468</v>
      </c>
      <c r="B469" t="s">
        <v>76</v>
      </c>
      <c r="C469" t="s">
        <v>363</v>
      </c>
      <c r="D469" t="s">
        <v>369</v>
      </c>
      <c r="E469" t="s">
        <v>399</v>
      </c>
      <c r="F469" t="s">
        <v>474</v>
      </c>
      <c r="G469">
        <v>2140</v>
      </c>
      <c r="H469">
        <v>1.04</v>
      </c>
      <c r="I469">
        <v>2225.6</v>
      </c>
      <c r="J469">
        <v>0.88</v>
      </c>
      <c r="K469">
        <v>1883.2</v>
      </c>
      <c r="L469">
        <v>342.4</v>
      </c>
    </row>
    <row r="470" spans="1:12" x14ac:dyDescent="0.25">
      <c r="A470">
        <v>469</v>
      </c>
      <c r="B470" t="s">
        <v>172</v>
      </c>
      <c r="C470" t="s">
        <v>365</v>
      </c>
      <c r="D470" t="s">
        <v>368</v>
      </c>
      <c r="E470" t="s">
        <v>390</v>
      </c>
      <c r="F470" t="s">
        <v>480</v>
      </c>
      <c r="G470">
        <v>1162</v>
      </c>
      <c r="H470">
        <v>1.1399999999999999</v>
      </c>
      <c r="I470">
        <v>1324.68</v>
      </c>
      <c r="J470">
        <v>0.86</v>
      </c>
      <c r="K470">
        <v>999.32</v>
      </c>
      <c r="L470">
        <v>325.36</v>
      </c>
    </row>
    <row r="471" spans="1:12" x14ac:dyDescent="0.25">
      <c r="A471">
        <v>470</v>
      </c>
      <c r="B471" t="s">
        <v>273</v>
      </c>
      <c r="C471" t="s">
        <v>363</v>
      </c>
      <c r="D471" t="s">
        <v>370</v>
      </c>
      <c r="E471" t="s">
        <v>398</v>
      </c>
      <c r="F471" t="s">
        <v>473</v>
      </c>
      <c r="G471">
        <v>2740</v>
      </c>
      <c r="H471">
        <v>0.95</v>
      </c>
      <c r="I471">
        <v>2603</v>
      </c>
      <c r="J471">
        <v>0.75</v>
      </c>
      <c r="K471">
        <v>2055</v>
      </c>
      <c r="L471">
        <v>548</v>
      </c>
    </row>
    <row r="472" spans="1:12" x14ac:dyDescent="0.25">
      <c r="A472">
        <v>471</v>
      </c>
      <c r="B472" t="s">
        <v>278</v>
      </c>
      <c r="C472" t="s">
        <v>364</v>
      </c>
      <c r="D472" t="s">
        <v>368</v>
      </c>
      <c r="E472" t="s">
        <v>424</v>
      </c>
      <c r="F472" t="s">
        <v>486</v>
      </c>
      <c r="G472">
        <v>1560</v>
      </c>
      <c r="H472">
        <v>1.23</v>
      </c>
      <c r="I472">
        <v>1918.8</v>
      </c>
      <c r="J472">
        <v>0.93</v>
      </c>
      <c r="K472">
        <v>1450.8</v>
      </c>
      <c r="L472">
        <v>468</v>
      </c>
    </row>
    <row r="473" spans="1:12" x14ac:dyDescent="0.25">
      <c r="A473">
        <v>472</v>
      </c>
      <c r="B473" t="s">
        <v>108</v>
      </c>
      <c r="C473" t="s">
        <v>364</v>
      </c>
      <c r="D473" t="s">
        <v>369</v>
      </c>
      <c r="E473" t="s">
        <v>440</v>
      </c>
      <c r="F473" t="s">
        <v>472</v>
      </c>
      <c r="G473">
        <v>809</v>
      </c>
      <c r="H473">
        <v>1.17</v>
      </c>
      <c r="I473">
        <v>946.53</v>
      </c>
      <c r="J473">
        <v>0.92</v>
      </c>
      <c r="K473">
        <v>744.28</v>
      </c>
      <c r="L473">
        <v>202.25</v>
      </c>
    </row>
    <row r="474" spans="1:12" x14ac:dyDescent="0.25">
      <c r="A474">
        <v>473</v>
      </c>
      <c r="B474" t="s">
        <v>38</v>
      </c>
      <c r="C474" t="s">
        <v>366</v>
      </c>
      <c r="D474" t="s">
        <v>370</v>
      </c>
      <c r="E474" t="s">
        <v>467</v>
      </c>
      <c r="F474" t="s">
        <v>472</v>
      </c>
      <c r="G474">
        <v>2538</v>
      </c>
      <c r="H474">
        <v>0.96</v>
      </c>
      <c r="I474">
        <v>2436.48</v>
      </c>
      <c r="J474">
        <v>0.79</v>
      </c>
      <c r="K474">
        <v>2005.02</v>
      </c>
      <c r="L474">
        <v>431.46</v>
      </c>
    </row>
    <row r="475" spans="1:12" x14ac:dyDescent="0.25">
      <c r="A475">
        <v>474</v>
      </c>
      <c r="B475" t="s">
        <v>83</v>
      </c>
      <c r="C475" t="s">
        <v>363</v>
      </c>
      <c r="D475" t="s">
        <v>368</v>
      </c>
      <c r="E475" t="s">
        <v>440</v>
      </c>
      <c r="F475" t="s">
        <v>490</v>
      </c>
      <c r="G475">
        <v>3007</v>
      </c>
      <c r="H475">
        <v>0.92</v>
      </c>
      <c r="I475">
        <v>2766.44</v>
      </c>
      <c r="J475">
        <v>0.74</v>
      </c>
      <c r="K475">
        <v>2225.1799999999998</v>
      </c>
      <c r="L475">
        <v>541.26</v>
      </c>
    </row>
    <row r="476" spans="1:12" x14ac:dyDescent="0.25">
      <c r="A476">
        <v>475</v>
      </c>
      <c r="B476" t="s">
        <v>76</v>
      </c>
      <c r="C476" t="s">
        <v>364</v>
      </c>
      <c r="D476" t="s">
        <v>370</v>
      </c>
      <c r="E476" t="s">
        <v>469</v>
      </c>
      <c r="F476" t="s">
        <v>490</v>
      </c>
      <c r="G476">
        <v>4793</v>
      </c>
      <c r="H476">
        <v>1.04</v>
      </c>
      <c r="I476">
        <v>4984.72</v>
      </c>
      <c r="J476">
        <v>0.85</v>
      </c>
      <c r="K476">
        <v>4074.05</v>
      </c>
      <c r="L476">
        <v>910.67</v>
      </c>
    </row>
    <row r="477" spans="1:12" x14ac:dyDescent="0.25">
      <c r="A477">
        <v>476</v>
      </c>
      <c r="B477" t="s">
        <v>209</v>
      </c>
      <c r="C477" t="s">
        <v>364</v>
      </c>
      <c r="D477" t="s">
        <v>370</v>
      </c>
      <c r="E477" t="s">
        <v>375</v>
      </c>
      <c r="F477" t="s">
        <v>485</v>
      </c>
      <c r="G477">
        <v>1850</v>
      </c>
      <c r="H477">
        <v>1.46</v>
      </c>
      <c r="I477">
        <v>2701</v>
      </c>
      <c r="J477">
        <v>1.21</v>
      </c>
      <c r="K477">
        <v>2238.5</v>
      </c>
      <c r="L477">
        <v>462.5</v>
      </c>
    </row>
    <row r="478" spans="1:12" x14ac:dyDescent="0.25">
      <c r="A478">
        <v>477</v>
      </c>
      <c r="B478" t="s">
        <v>108</v>
      </c>
      <c r="C478" t="s">
        <v>366</v>
      </c>
      <c r="D478" t="s">
        <v>367</v>
      </c>
      <c r="E478" t="s">
        <v>373</v>
      </c>
      <c r="F478" t="s">
        <v>474</v>
      </c>
      <c r="G478">
        <v>2230</v>
      </c>
      <c r="H478">
        <v>1.31</v>
      </c>
      <c r="I478">
        <v>2921.3</v>
      </c>
      <c r="J478">
        <v>0.98</v>
      </c>
      <c r="K478">
        <v>2185.4</v>
      </c>
      <c r="L478">
        <v>735.9</v>
      </c>
    </row>
    <row r="479" spans="1:12" x14ac:dyDescent="0.25">
      <c r="A479">
        <v>478</v>
      </c>
      <c r="B479" t="s">
        <v>66</v>
      </c>
      <c r="C479" t="s">
        <v>365</v>
      </c>
      <c r="D479" t="s">
        <v>367</v>
      </c>
      <c r="E479" t="s">
        <v>390</v>
      </c>
      <c r="F479" t="s">
        <v>478</v>
      </c>
      <c r="G479">
        <v>3573</v>
      </c>
      <c r="H479">
        <v>1.41</v>
      </c>
      <c r="I479">
        <v>5037.93</v>
      </c>
      <c r="J479">
        <v>0.94</v>
      </c>
      <c r="K479">
        <v>3358.62</v>
      </c>
      <c r="L479">
        <v>1679.31</v>
      </c>
    </row>
    <row r="480" spans="1:12" x14ac:dyDescent="0.25">
      <c r="A480">
        <v>479</v>
      </c>
      <c r="B480" t="s">
        <v>218</v>
      </c>
      <c r="C480" t="s">
        <v>363</v>
      </c>
      <c r="D480" t="s">
        <v>367</v>
      </c>
      <c r="E480" t="s">
        <v>389</v>
      </c>
      <c r="F480" t="s">
        <v>488</v>
      </c>
      <c r="G480">
        <v>661</v>
      </c>
      <c r="H480">
        <v>0.83</v>
      </c>
      <c r="I480">
        <v>548.63</v>
      </c>
      <c r="J480">
        <v>0.52</v>
      </c>
      <c r="K480">
        <v>343.72</v>
      </c>
      <c r="L480">
        <v>204.91</v>
      </c>
    </row>
    <row r="481" spans="1:12" x14ac:dyDescent="0.25">
      <c r="A481">
        <v>480</v>
      </c>
      <c r="B481" t="s">
        <v>256</v>
      </c>
      <c r="C481" t="s">
        <v>363</v>
      </c>
      <c r="D481" t="s">
        <v>369</v>
      </c>
      <c r="E481" t="s">
        <v>385</v>
      </c>
      <c r="F481" t="s">
        <v>471</v>
      </c>
      <c r="G481">
        <v>4386</v>
      </c>
      <c r="H481">
        <v>1.29</v>
      </c>
      <c r="I481">
        <v>5657.94</v>
      </c>
      <c r="J481">
        <v>0.84</v>
      </c>
      <c r="K481">
        <v>3684.24</v>
      </c>
      <c r="L481">
        <v>1973.7</v>
      </c>
    </row>
    <row r="482" spans="1:12" x14ac:dyDescent="0.25">
      <c r="A482">
        <v>481</v>
      </c>
      <c r="B482" t="s">
        <v>98</v>
      </c>
      <c r="C482" t="s">
        <v>365</v>
      </c>
      <c r="D482" t="s">
        <v>367</v>
      </c>
      <c r="E482" t="s">
        <v>419</v>
      </c>
      <c r="F482" t="s">
        <v>488</v>
      </c>
      <c r="G482">
        <v>4762</v>
      </c>
      <c r="H482">
        <v>0.99</v>
      </c>
      <c r="I482">
        <v>4714.38</v>
      </c>
      <c r="J482">
        <v>0.74</v>
      </c>
      <c r="K482">
        <v>3523.88</v>
      </c>
      <c r="L482">
        <v>1190.5</v>
      </c>
    </row>
    <row r="483" spans="1:12" x14ac:dyDescent="0.25">
      <c r="A483">
        <v>482</v>
      </c>
      <c r="B483" t="s">
        <v>195</v>
      </c>
      <c r="C483" t="s">
        <v>363</v>
      </c>
      <c r="D483" t="s">
        <v>369</v>
      </c>
      <c r="E483" t="s">
        <v>417</v>
      </c>
      <c r="F483" t="s">
        <v>489</v>
      </c>
      <c r="G483">
        <v>1464</v>
      </c>
      <c r="H483">
        <v>1</v>
      </c>
      <c r="I483">
        <v>1464</v>
      </c>
      <c r="J483">
        <v>0.8</v>
      </c>
      <c r="K483">
        <v>1171.2</v>
      </c>
      <c r="L483">
        <v>292.8</v>
      </c>
    </row>
    <row r="484" spans="1:12" x14ac:dyDescent="0.25">
      <c r="A484">
        <v>483</v>
      </c>
      <c r="B484" t="s">
        <v>276</v>
      </c>
      <c r="C484" t="s">
        <v>366</v>
      </c>
      <c r="D484" t="s">
        <v>368</v>
      </c>
      <c r="E484" t="s">
        <v>427</v>
      </c>
      <c r="F484" t="s">
        <v>471</v>
      </c>
      <c r="G484">
        <v>4785</v>
      </c>
      <c r="H484">
        <v>1.48</v>
      </c>
      <c r="I484">
        <v>7081.8</v>
      </c>
      <c r="J484">
        <v>1.02</v>
      </c>
      <c r="K484">
        <v>4880.7</v>
      </c>
      <c r="L484">
        <v>2201.1</v>
      </c>
    </row>
    <row r="485" spans="1:12" x14ac:dyDescent="0.25">
      <c r="A485">
        <v>484</v>
      </c>
      <c r="B485" t="s">
        <v>131</v>
      </c>
      <c r="C485" t="s">
        <v>366</v>
      </c>
      <c r="D485" t="s">
        <v>370</v>
      </c>
      <c r="E485" t="s">
        <v>377</v>
      </c>
      <c r="F485" t="s">
        <v>476</v>
      </c>
      <c r="G485">
        <v>4566</v>
      </c>
      <c r="H485">
        <v>1.44</v>
      </c>
      <c r="I485">
        <v>6575.04</v>
      </c>
      <c r="J485">
        <v>1.1100000000000001</v>
      </c>
      <c r="K485">
        <v>5068.26</v>
      </c>
      <c r="L485">
        <v>1506.78</v>
      </c>
    </row>
    <row r="486" spans="1:12" x14ac:dyDescent="0.25">
      <c r="A486">
        <v>485</v>
      </c>
      <c r="B486" t="s">
        <v>291</v>
      </c>
      <c r="C486" t="s">
        <v>366</v>
      </c>
      <c r="D486" t="s">
        <v>370</v>
      </c>
      <c r="E486" t="s">
        <v>398</v>
      </c>
      <c r="F486" t="s">
        <v>472</v>
      </c>
      <c r="G486">
        <v>1229</v>
      </c>
      <c r="H486">
        <v>1.43</v>
      </c>
      <c r="I486">
        <v>1757.47</v>
      </c>
      <c r="J486">
        <v>1.1599999999999999</v>
      </c>
      <c r="K486">
        <v>1425.64</v>
      </c>
      <c r="L486">
        <v>331.83</v>
      </c>
    </row>
    <row r="487" spans="1:12" x14ac:dyDescent="0.25">
      <c r="A487">
        <v>486</v>
      </c>
      <c r="B487" t="s">
        <v>207</v>
      </c>
      <c r="C487" t="s">
        <v>366</v>
      </c>
      <c r="D487" t="s">
        <v>369</v>
      </c>
      <c r="E487" t="s">
        <v>437</v>
      </c>
      <c r="F487" t="s">
        <v>490</v>
      </c>
      <c r="G487">
        <v>1114</v>
      </c>
      <c r="H487">
        <v>1.31</v>
      </c>
      <c r="I487">
        <v>1459.34</v>
      </c>
      <c r="J487">
        <v>0.82</v>
      </c>
      <c r="K487">
        <v>913.48</v>
      </c>
      <c r="L487">
        <v>545.86</v>
      </c>
    </row>
    <row r="488" spans="1:12" x14ac:dyDescent="0.25">
      <c r="A488">
        <v>487</v>
      </c>
      <c r="B488" t="s">
        <v>202</v>
      </c>
      <c r="C488" t="s">
        <v>364</v>
      </c>
      <c r="D488" t="s">
        <v>368</v>
      </c>
      <c r="E488" t="s">
        <v>386</v>
      </c>
      <c r="F488" t="s">
        <v>471</v>
      </c>
      <c r="G488">
        <v>4303</v>
      </c>
      <c r="H488">
        <v>0.84</v>
      </c>
      <c r="I488">
        <v>3614.52</v>
      </c>
      <c r="J488">
        <v>0.67</v>
      </c>
      <c r="K488">
        <v>2883.01</v>
      </c>
      <c r="L488">
        <v>731.51</v>
      </c>
    </row>
    <row r="489" spans="1:12" x14ac:dyDescent="0.25">
      <c r="A489">
        <v>488</v>
      </c>
      <c r="B489" t="s">
        <v>53</v>
      </c>
      <c r="C489" t="s">
        <v>365</v>
      </c>
      <c r="D489" t="s">
        <v>370</v>
      </c>
      <c r="E489" t="s">
        <v>414</v>
      </c>
      <c r="F489" t="s">
        <v>487</v>
      </c>
      <c r="G489">
        <v>3989</v>
      </c>
      <c r="H489">
        <v>1.32</v>
      </c>
      <c r="I489">
        <v>5265.48</v>
      </c>
      <c r="J489">
        <v>0.82</v>
      </c>
      <c r="K489">
        <v>3270.98</v>
      </c>
      <c r="L489">
        <v>1994.5</v>
      </c>
    </row>
    <row r="490" spans="1:12" x14ac:dyDescent="0.25">
      <c r="A490">
        <v>489</v>
      </c>
      <c r="B490" t="s">
        <v>211</v>
      </c>
      <c r="C490" t="s">
        <v>366</v>
      </c>
      <c r="D490" t="s">
        <v>367</v>
      </c>
      <c r="E490" t="s">
        <v>389</v>
      </c>
      <c r="F490" t="s">
        <v>480</v>
      </c>
      <c r="G490">
        <v>3192</v>
      </c>
      <c r="H490">
        <v>1.05</v>
      </c>
      <c r="I490">
        <v>3351.6</v>
      </c>
      <c r="J490">
        <v>0.74</v>
      </c>
      <c r="K490">
        <v>2362.08</v>
      </c>
      <c r="L490">
        <v>989.52</v>
      </c>
    </row>
    <row r="491" spans="1:12" x14ac:dyDescent="0.25">
      <c r="A491">
        <v>490</v>
      </c>
      <c r="B491" t="s">
        <v>78</v>
      </c>
      <c r="C491" t="s">
        <v>363</v>
      </c>
      <c r="D491" t="s">
        <v>370</v>
      </c>
      <c r="E491" t="s">
        <v>466</v>
      </c>
      <c r="F491" t="s">
        <v>487</v>
      </c>
      <c r="G491">
        <v>1998</v>
      </c>
      <c r="H491">
        <v>0.88</v>
      </c>
      <c r="I491">
        <v>1758.24</v>
      </c>
      <c r="J491">
        <v>0.62</v>
      </c>
      <c r="K491">
        <v>1238.76</v>
      </c>
      <c r="L491">
        <v>519.48</v>
      </c>
    </row>
    <row r="492" spans="1:12" x14ac:dyDescent="0.25">
      <c r="A492">
        <v>491</v>
      </c>
      <c r="B492" t="s">
        <v>292</v>
      </c>
      <c r="C492" t="s">
        <v>364</v>
      </c>
      <c r="D492" t="s">
        <v>370</v>
      </c>
      <c r="E492" t="s">
        <v>454</v>
      </c>
      <c r="F492" t="s">
        <v>483</v>
      </c>
      <c r="G492">
        <v>3954</v>
      </c>
      <c r="H492">
        <v>1.25</v>
      </c>
      <c r="I492">
        <v>4942.5</v>
      </c>
      <c r="J492">
        <v>1</v>
      </c>
      <c r="K492">
        <v>3954</v>
      </c>
      <c r="L492">
        <v>988.5</v>
      </c>
    </row>
    <row r="493" spans="1:12" x14ac:dyDescent="0.25">
      <c r="A493">
        <v>492</v>
      </c>
      <c r="B493" t="s">
        <v>212</v>
      </c>
      <c r="C493" t="s">
        <v>363</v>
      </c>
      <c r="D493" t="s">
        <v>368</v>
      </c>
      <c r="E493" t="s">
        <v>406</v>
      </c>
      <c r="F493" t="s">
        <v>488</v>
      </c>
      <c r="G493">
        <v>3908</v>
      </c>
      <c r="H493">
        <v>1.44</v>
      </c>
      <c r="I493">
        <v>5627.52</v>
      </c>
      <c r="J493">
        <v>1.04</v>
      </c>
      <c r="K493">
        <v>4064.32</v>
      </c>
      <c r="L493">
        <v>1563.2</v>
      </c>
    </row>
    <row r="494" spans="1:12" x14ac:dyDescent="0.25">
      <c r="A494">
        <v>493</v>
      </c>
      <c r="B494" t="s">
        <v>293</v>
      </c>
      <c r="C494" t="s">
        <v>366</v>
      </c>
      <c r="D494" t="s">
        <v>369</v>
      </c>
      <c r="E494" t="s">
        <v>422</v>
      </c>
      <c r="F494" t="s">
        <v>484</v>
      </c>
      <c r="G494">
        <v>3437</v>
      </c>
      <c r="H494">
        <v>1.23</v>
      </c>
      <c r="I494">
        <v>4227.51</v>
      </c>
      <c r="J494">
        <v>1</v>
      </c>
      <c r="K494">
        <v>3437</v>
      </c>
      <c r="L494">
        <v>790.51</v>
      </c>
    </row>
    <row r="495" spans="1:12" x14ac:dyDescent="0.25">
      <c r="A495">
        <v>494</v>
      </c>
      <c r="B495" t="s">
        <v>137</v>
      </c>
      <c r="C495" t="s">
        <v>364</v>
      </c>
      <c r="D495" t="s">
        <v>369</v>
      </c>
      <c r="E495" t="s">
        <v>409</v>
      </c>
      <c r="F495" t="s">
        <v>481</v>
      </c>
      <c r="G495">
        <v>4110</v>
      </c>
      <c r="H495">
        <v>0.83</v>
      </c>
      <c r="I495">
        <v>3411.3</v>
      </c>
      <c r="J495">
        <v>0.55000000000000004</v>
      </c>
      <c r="K495">
        <v>2260.5</v>
      </c>
      <c r="L495">
        <v>1150.8</v>
      </c>
    </row>
    <row r="496" spans="1:12" x14ac:dyDescent="0.25">
      <c r="A496">
        <v>495</v>
      </c>
      <c r="B496" t="s">
        <v>150</v>
      </c>
      <c r="C496" t="s">
        <v>366</v>
      </c>
      <c r="D496" t="s">
        <v>367</v>
      </c>
      <c r="E496" t="s">
        <v>403</v>
      </c>
      <c r="F496" t="s">
        <v>487</v>
      </c>
      <c r="G496">
        <v>4752</v>
      </c>
      <c r="H496">
        <v>1.17</v>
      </c>
      <c r="I496">
        <v>5559.84</v>
      </c>
      <c r="J496">
        <v>0.91</v>
      </c>
      <c r="K496">
        <v>4324.32</v>
      </c>
      <c r="L496">
        <v>1235.52</v>
      </c>
    </row>
    <row r="497" spans="1:12" x14ac:dyDescent="0.25">
      <c r="A497">
        <v>496</v>
      </c>
      <c r="B497" t="s">
        <v>227</v>
      </c>
      <c r="C497" t="s">
        <v>366</v>
      </c>
      <c r="D497" t="s">
        <v>369</v>
      </c>
      <c r="E497" t="s">
        <v>468</v>
      </c>
      <c r="F497" t="s">
        <v>475</v>
      </c>
      <c r="G497">
        <v>3652</v>
      </c>
      <c r="H497">
        <v>0.9</v>
      </c>
      <c r="I497">
        <v>3286.8</v>
      </c>
      <c r="J497">
        <v>0.73</v>
      </c>
      <c r="K497">
        <v>2665.96</v>
      </c>
      <c r="L497">
        <v>620.84</v>
      </c>
    </row>
    <row r="498" spans="1:12" x14ac:dyDescent="0.25">
      <c r="A498">
        <v>497</v>
      </c>
      <c r="B498" t="s">
        <v>294</v>
      </c>
      <c r="C498" t="s">
        <v>363</v>
      </c>
      <c r="D498" t="s">
        <v>367</v>
      </c>
      <c r="E498" t="s">
        <v>431</v>
      </c>
      <c r="F498" t="s">
        <v>480</v>
      </c>
      <c r="G498">
        <v>4641</v>
      </c>
      <c r="H498">
        <v>1.39</v>
      </c>
      <c r="I498">
        <v>6450.99</v>
      </c>
      <c r="J498">
        <v>1.1299999999999999</v>
      </c>
      <c r="K498">
        <v>5244.33</v>
      </c>
      <c r="L498">
        <v>1206.6600000000001</v>
      </c>
    </row>
    <row r="499" spans="1:12" x14ac:dyDescent="0.25">
      <c r="A499">
        <v>498</v>
      </c>
      <c r="B499" t="s">
        <v>159</v>
      </c>
      <c r="C499" t="s">
        <v>364</v>
      </c>
      <c r="D499" t="s">
        <v>367</v>
      </c>
      <c r="E499" t="s">
        <v>441</v>
      </c>
      <c r="F499" t="s">
        <v>477</v>
      </c>
      <c r="G499">
        <v>3210</v>
      </c>
      <c r="H499">
        <v>1.48</v>
      </c>
      <c r="I499">
        <v>4750.8</v>
      </c>
      <c r="J499">
        <v>0.91</v>
      </c>
      <c r="K499">
        <v>2921.1</v>
      </c>
      <c r="L499">
        <v>1829.7</v>
      </c>
    </row>
    <row r="500" spans="1:12" x14ac:dyDescent="0.25">
      <c r="A500">
        <v>499</v>
      </c>
      <c r="B500" t="s">
        <v>57</v>
      </c>
      <c r="C500" t="s">
        <v>364</v>
      </c>
      <c r="D500" t="s">
        <v>369</v>
      </c>
      <c r="E500" t="s">
        <v>388</v>
      </c>
      <c r="F500" t="s">
        <v>486</v>
      </c>
      <c r="G500">
        <v>4260</v>
      </c>
      <c r="H500">
        <v>1.1100000000000001</v>
      </c>
      <c r="I500">
        <v>4728.6000000000004</v>
      </c>
      <c r="J500">
        <v>0.83</v>
      </c>
      <c r="K500">
        <v>3535.8</v>
      </c>
      <c r="L500">
        <v>1192.8</v>
      </c>
    </row>
    <row r="501" spans="1:12" x14ac:dyDescent="0.25">
      <c r="A501">
        <v>500</v>
      </c>
      <c r="B501" t="s">
        <v>295</v>
      </c>
      <c r="C501" t="s">
        <v>364</v>
      </c>
      <c r="D501" t="s">
        <v>369</v>
      </c>
      <c r="E501" t="s">
        <v>404</v>
      </c>
      <c r="F501" t="s">
        <v>488</v>
      </c>
      <c r="G501">
        <v>4574</v>
      </c>
      <c r="H501">
        <v>1.32</v>
      </c>
      <c r="I501">
        <v>6037.68</v>
      </c>
      <c r="J501">
        <v>0.8</v>
      </c>
      <c r="K501">
        <v>3659.2</v>
      </c>
      <c r="L501">
        <v>2378.48</v>
      </c>
    </row>
    <row r="502" spans="1:12" x14ac:dyDescent="0.25">
      <c r="A502">
        <v>501</v>
      </c>
      <c r="B502" t="s">
        <v>108</v>
      </c>
      <c r="C502" t="s">
        <v>363</v>
      </c>
      <c r="D502" t="s">
        <v>369</v>
      </c>
      <c r="E502" t="s">
        <v>421</v>
      </c>
      <c r="F502" t="s">
        <v>476</v>
      </c>
      <c r="G502">
        <v>501</v>
      </c>
      <c r="H502">
        <v>1.38</v>
      </c>
      <c r="I502">
        <v>691.38</v>
      </c>
      <c r="J502">
        <v>1.1000000000000001</v>
      </c>
      <c r="K502">
        <v>551.1</v>
      </c>
      <c r="L502">
        <v>140.28</v>
      </c>
    </row>
    <row r="503" spans="1:12" x14ac:dyDescent="0.25">
      <c r="A503">
        <v>502</v>
      </c>
      <c r="B503" t="s">
        <v>145</v>
      </c>
      <c r="C503" t="s">
        <v>366</v>
      </c>
      <c r="D503" t="s">
        <v>370</v>
      </c>
      <c r="E503" t="s">
        <v>420</v>
      </c>
      <c r="F503" t="s">
        <v>473</v>
      </c>
      <c r="G503">
        <v>3292</v>
      </c>
      <c r="H503">
        <v>1.05</v>
      </c>
      <c r="I503">
        <v>3456.6</v>
      </c>
      <c r="J503">
        <v>0.64</v>
      </c>
      <c r="K503">
        <v>2106.88</v>
      </c>
      <c r="L503">
        <v>1349.72</v>
      </c>
    </row>
    <row r="504" spans="1:12" x14ac:dyDescent="0.25">
      <c r="A504">
        <v>503</v>
      </c>
      <c r="B504" t="s">
        <v>57</v>
      </c>
      <c r="C504" t="s">
        <v>365</v>
      </c>
      <c r="D504" t="s">
        <v>369</v>
      </c>
      <c r="E504" t="s">
        <v>421</v>
      </c>
      <c r="F504" t="s">
        <v>489</v>
      </c>
      <c r="G504">
        <v>4375</v>
      </c>
      <c r="H504">
        <v>1.3</v>
      </c>
      <c r="I504">
        <v>5687.5</v>
      </c>
      <c r="J504">
        <v>0.9</v>
      </c>
      <c r="K504">
        <v>3937.5</v>
      </c>
      <c r="L504">
        <v>1750</v>
      </c>
    </row>
    <row r="505" spans="1:12" x14ac:dyDescent="0.25">
      <c r="A505">
        <v>504</v>
      </c>
      <c r="B505" t="s">
        <v>296</v>
      </c>
      <c r="C505" t="s">
        <v>363</v>
      </c>
      <c r="D505" t="s">
        <v>367</v>
      </c>
      <c r="E505" t="s">
        <v>424</v>
      </c>
      <c r="F505" t="s">
        <v>477</v>
      </c>
      <c r="G505">
        <v>517</v>
      </c>
      <c r="H505">
        <v>1.04</v>
      </c>
      <c r="I505">
        <v>537.67999999999995</v>
      </c>
      <c r="J505">
        <v>0.84</v>
      </c>
      <c r="K505">
        <v>434.28</v>
      </c>
      <c r="L505">
        <v>103.4</v>
      </c>
    </row>
    <row r="506" spans="1:12" x14ac:dyDescent="0.25">
      <c r="A506">
        <v>505</v>
      </c>
      <c r="B506" t="s">
        <v>297</v>
      </c>
      <c r="C506" t="s">
        <v>363</v>
      </c>
      <c r="D506" t="s">
        <v>370</v>
      </c>
      <c r="E506" t="s">
        <v>377</v>
      </c>
      <c r="F506" t="s">
        <v>480</v>
      </c>
      <c r="G506">
        <v>4533</v>
      </c>
      <c r="H506">
        <v>0.9</v>
      </c>
      <c r="I506">
        <v>4079.7</v>
      </c>
      <c r="J506">
        <v>0.7</v>
      </c>
      <c r="K506">
        <v>3173.1</v>
      </c>
      <c r="L506">
        <v>906.6</v>
      </c>
    </row>
    <row r="507" spans="1:12" x14ac:dyDescent="0.25">
      <c r="A507">
        <v>506</v>
      </c>
      <c r="B507" t="s">
        <v>131</v>
      </c>
      <c r="C507" t="s">
        <v>365</v>
      </c>
      <c r="D507" t="s">
        <v>367</v>
      </c>
      <c r="E507" t="s">
        <v>422</v>
      </c>
      <c r="F507" t="s">
        <v>485</v>
      </c>
      <c r="G507">
        <v>2036</v>
      </c>
      <c r="H507">
        <v>0.88</v>
      </c>
      <c r="I507">
        <v>1791.68</v>
      </c>
      <c r="J507">
        <v>0.72</v>
      </c>
      <c r="K507">
        <v>1465.92</v>
      </c>
      <c r="L507">
        <v>325.76</v>
      </c>
    </row>
    <row r="508" spans="1:12" x14ac:dyDescent="0.25">
      <c r="A508">
        <v>507</v>
      </c>
      <c r="B508" t="s">
        <v>298</v>
      </c>
      <c r="C508" t="s">
        <v>366</v>
      </c>
      <c r="D508" t="s">
        <v>369</v>
      </c>
      <c r="E508" t="s">
        <v>390</v>
      </c>
      <c r="F508" t="s">
        <v>487</v>
      </c>
      <c r="G508">
        <v>1382</v>
      </c>
      <c r="H508">
        <v>1.33</v>
      </c>
      <c r="I508">
        <v>1838.06</v>
      </c>
      <c r="J508">
        <v>0.81</v>
      </c>
      <c r="K508">
        <v>1119.42</v>
      </c>
      <c r="L508">
        <v>718.64</v>
      </c>
    </row>
    <row r="509" spans="1:12" x14ac:dyDescent="0.25">
      <c r="A509">
        <v>508</v>
      </c>
      <c r="B509" t="s">
        <v>49</v>
      </c>
      <c r="C509" t="s">
        <v>364</v>
      </c>
      <c r="D509" t="s">
        <v>367</v>
      </c>
      <c r="E509" t="s">
        <v>378</v>
      </c>
      <c r="F509" t="s">
        <v>479</v>
      </c>
      <c r="G509">
        <v>4630</v>
      </c>
      <c r="H509">
        <v>0.89</v>
      </c>
      <c r="I509">
        <v>4120.7</v>
      </c>
      <c r="J509">
        <v>0.64</v>
      </c>
      <c r="K509">
        <v>2963.2</v>
      </c>
      <c r="L509">
        <v>1157.5</v>
      </c>
    </row>
    <row r="510" spans="1:12" x14ac:dyDescent="0.25">
      <c r="A510">
        <v>509</v>
      </c>
      <c r="B510" t="s">
        <v>224</v>
      </c>
      <c r="C510" t="s">
        <v>364</v>
      </c>
      <c r="D510" t="s">
        <v>367</v>
      </c>
      <c r="E510" t="s">
        <v>461</v>
      </c>
      <c r="F510" t="s">
        <v>483</v>
      </c>
      <c r="G510">
        <v>4664</v>
      </c>
      <c r="H510">
        <v>1.35</v>
      </c>
      <c r="I510">
        <v>6296.4</v>
      </c>
      <c r="J510">
        <v>1.1200000000000001</v>
      </c>
      <c r="K510">
        <v>5223.68</v>
      </c>
      <c r="L510">
        <v>1072.72</v>
      </c>
    </row>
    <row r="511" spans="1:12" x14ac:dyDescent="0.25">
      <c r="A511">
        <v>510</v>
      </c>
      <c r="B511" t="s">
        <v>237</v>
      </c>
      <c r="C511" t="s">
        <v>366</v>
      </c>
      <c r="D511" t="s">
        <v>368</v>
      </c>
      <c r="E511" t="s">
        <v>450</v>
      </c>
      <c r="F511" t="s">
        <v>484</v>
      </c>
      <c r="G511">
        <v>3136</v>
      </c>
      <c r="H511">
        <v>1.1499999999999999</v>
      </c>
      <c r="I511">
        <v>3606.4</v>
      </c>
      <c r="J511">
        <v>0.8</v>
      </c>
      <c r="K511">
        <v>2508.8000000000002</v>
      </c>
      <c r="L511">
        <v>1097.5999999999999</v>
      </c>
    </row>
    <row r="512" spans="1:12" x14ac:dyDescent="0.25">
      <c r="A512">
        <v>511</v>
      </c>
      <c r="B512" t="s">
        <v>178</v>
      </c>
      <c r="C512" t="s">
        <v>365</v>
      </c>
      <c r="D512" t="s">
        <v>368</v>
      </c>
      <c r="E512" t="s">
        <v>455</v>
      </c>
      <c r="F512" t="s">
        <v>487</v>
      </c>
      <c r="G512">
        <v>2909</v>
      </c>
      <c r="H512">
        <v>1.1200000000000001</v>
      </c>
      <c r="I512">
        <v>3258.08</v>
      </c>
      <c r="J512">
        <v>0.71</v>
      </c>
      <c r="K512">
        <v>2065.39</v>
      </c>
      <c r="L512">
        <v>1192.69</v>
      </c>
    </row>
    <row r="513" spans="1:12" x14ac:dyDescent="0.25">
      <c r="A513">
        <v>512</v>
      </c>
      <c r="B513" t="s">
        <v>299</v>
      </c>
      <c r="C513" t="s">
        <v>365</v>
      </c>
      <c r="D513" t="s">
        <v>370</v>
      </c>
      <c r="E513" t="s">
        <v>390</v>
      </c>
      <c r="F513" t="s">
        <v>476</v>
      </c>
      <c r="G513">
        <v>2280</v>
      </c>
      <c r="H513">
        <v>0.94</v>
      </c>
      <c r="I513">
        <v>2143.1999999999998</v>
      </c>
      <c r="J513">
        <v>0.71</v>
      </c>
      <c r="K513">
        <v>1618.8</v>
      </c>
      <c r="L513">
        <v>524.4</v>
      </c>
    </row>
    <row r="514" spans="1:12" x14ac:dyDescent="0.25">
      <c r="A514">
        <v>513</v>
      </c>
      <c r="B514" t="s">
        <v>183</v>
      </c>
      <c r="C514" t="s">
        <v>366</v>
      </c>
      <c r="D514" t="s">
        <v>370</v>
      </c>
      <c r="E514" t="s">
        <v>453</v>
      </c>
      <c r="F514" t="s">
        <v>480</v>
      </c>
      <c r="G514">
        <v>4627</v>
      </c>
      <c r="H514">
        <v>1.18</v>
      </c>
      <c r="I514">
        <v>5459.86</v>
      </c>
      <c r="J514">
        <v>0.9</v>
      </c>
      <c r="K514">
        <v>4164.3</v>
      </c>
      <c r="L514">
        <v>1295.56</v>
      </c>
    </row>
    <row r="515" spans="1:12" x14ac:dyDescent="0.25">
      <c r="A515">
        <v>514</v>
      </c>
      <c r="B515" t="s">
        <v>187</v>
      </c>
      <c r="C515" t="s">
        <v>365</v>
      </c>
      <c r="D515" t="s">
        <v>367</v>
      </c>
      <c r="E515" t="s">
        <v>421</v>
      </c>
      <c r="F515" t="s">
        <v>483</v>
      </c>
      <c r="G515">
        <v>3919</v>
      </c>
      <c r="H515">
        <v>1.27</v>
      </c>
      <c r="I515">
        <v>4977.13</v>
      </c>
      <c r="J515">
        <v>1.05</v>
      </c>
      <c r="K515">
        <v>4114.95</v>
      </c>
      <c r="L515">
        <v>862.18</v>
      </c>
    </row>
    <row r="516" spans="1:12" x14ac:dyDescent="0.25">
      <c r="A516">
        <v>515</v>
      </c>
      <c r="B516" t="s">
        <v>218</v>
      </c>
      <c r="C516" t="s">
        <v>364</v>
      </c>
      <c r="D516" t="s">
        <v>370</v>
      </c>
      <c r="E516" t="s">
        <v>447</v>
      </c>
      <c r="F516" t="s">
        <v>490</v>
      </c>
      <c r="G516">
        <v>1372</v>
      </c>
      <c r="H516">
        <v>0.82</v>
      </c>
      <c r="I516">
        <v>1125.04</v>
      </c>
      <c r="J516">
        <v>0.52</v>
      </c>
      <c r="K516">
        <v>713.44</v>
      </c>
      <c r="L516">
        <v>411.6</v>
      </c>
    </row>
    <row r="517" spans="1:12" x14ac:dyDescent="0.25">
      <c r="A517">
        <v>516</v>
      </c>
      <c r="B517" t="s">
        <v>214</v>
      </c>
      <c r="C517" t="s">
        <v>366</v>
      </c>
      <c r="D517" t="s">
        <v>367</v>
      </c>
      <c r="E517" t="s">
        <v>412</v>
      </c>
      <c r="F517" t="s">
        <v>480</v>
      </c>
      <c r="G517">
        <v>2847</v>
      </c>
      <c r="H517">
        <v>1.28</v>
      </c>
      <c r="I517">
        <v>3644.16</v>
      </c>
      <c r="J517">
        <v>0.81</v>
      </c>
      <c r="K517">
        <v>2306.0700000000002</v>
      </c>
      <c r="L517">
        <v>1338.09</v>
      </c>
    </row>
    <row r="518" spans="1:12" x14ac:dyDescent="0.25">
      <c r="A518">
        <v>517</v>
      </c>
      <c r="B518" t="s">
        <v>300</v>
      </c>
      <c r="C518" t="s">
        <v>366</v>
      </c>
      <c r="D518" t="s">
        <v>370</v>
      </c>
      <c r="E518" t="s">
        <v>463</v>
      </c>
      <c r="F518" t="s">
        <v>476</v>
      </c>
      <c r="G518">
        <v>764</v>
      </c>
      <c r="H518">
        <v>1.05</v>
      </c>
      <c r="I518">
        <v>802.2</v>
      </c>
      <c r="J518">
        <v>0.75</v>
      </c>
      <c r="K518">
        <v>573</v>
      </c>
      <c r="L518">
        <v>229.2</v>
      </c>
    </row>
    <row r="519" spans="1:12" x14ac:dyDescent="0.25">
      <c r="A519">
        <v>518</v>
      </c>
      <c r="B519" t="s">
        <v>301</v>
      </c>
      <c r="C519" t="s">
        <v>364</v>
      </c>
      <c r="D519" t="s">
        <v>368</v>
      </c>
      <c r="E519" t="s">
        <v>388</v>
      </c>
      <c r="F519" t="s">
        <v>490</v>
      </c>
      <c r="G519">
        <v>2856</v>
      </c>
      <c r="H519">
        <v>1.29</v>
      </c>
      <c r="I519">
        <v>3684.24</v>
      </c>
      <c r="J519">
        <v>0.79</v>
      </c>
      <c r="K519">
        <v>2256.2399999999998</v>
      </c>
      <c r="L519">
        <v>1428</v>
      </c>
    </row>
    <row r="520" spans="1:12" x14ac:dyDescent="0.25">
      <c r="A520">
        <v>519</v>
      </c>
      <c r="B520" t="s">
        <v>123</v>
      </c>
      <c r="C520" t="s">
        <v>364</v>
      </c>
      <c r="D520" t="s">
        <v>369</v>
      </c>
      <c r="E520" t="s">
        <v>411</v>
      </c>
      <c r="F520" t="s">
        <v>487</v>
      </c>
      <c r="G520">
        <v>940</v>
      </c>
      <c r="H520">
        <v>0.81</v>
      </c>
      <c r="I520">
        <v>761.4</v>
      </c>
      <c r="J520">
        <v>0.54</v>
      </c>
      <c r="K520">
        <v>507.6</v>
      </c>
      <c r="L520">
        <v>253.8</v>
      </c>
    </row>
    <row r="521" spans="1:12" x14ac:dyDescent="0.25">
      <c r="A521">
        <v>520</v>
      </c>
      <c r="B521" t="s">
        <v>130</v>
      </c>
      <c r="C521" t="s">
        <v>366</v>
      </c>
      <c r="D521" t="s">
        <v>369</v>
      </c>
      <c r="E521" t="s">
        <v>436</v>
      </c>
      <c r="F521" t="s">
        <v>475</v>
      </c>
      <c r="G521">
        <v>4977</v>
      </c>
      <c r="H521">
        <v>1.32</v>
      </c>
      <c r="I521">
        <v>6569.64</v>
      </c>
      <c r="J521">
        <v>0.86</v>
      </c>
      <c r="K521">
        <v>4280.22</v>
      </c>
      <c r="L521">
        <v>2289.42</v>
      </c>
    </row>
    <row r="522" spans="1:12" x14ac:dyDescent="0.25">
      <c r="A522">
        <v>521</v>
      </c>
      <c r="B522" t="s">
        <v>302</v>
      </c>
      <c r="C522" t="s">
        <v>364</v>
      </c>
      <c r="D522" t="s">
        <v>370</v>
      </c>
      <c r="E522" t="s">
        <v>445</v>
      </c>
      <c r="F522" t="s">
        <v>486</v>
      </c>
      <c r="G522">
        <v>2031</v>
      </c>
      <c r="H522">
        <v>1.47</v>
      </c>
      <c r="I522">
        <v>2985.57</v>
      </c>
      <c r="J522">
        <v>1.1499999999999999</v>
      </c>
      <c r="K522">
        <v>2335.65</v>
      </c>
      <c r="L522">
        <v>649.91999999999996</v>
      </c>
    </row>
    <row r="523" spans="1:12" x14ac:dyDescent="0.25">
      <c r="A523">
        <v>522</v>
      </c>
      <c r="B523" t="s">
        <v>43</v>
      </c>
      <c r="C523" t="s">
        <v>363</v>
      </c>
      <c r="D523" t="s">
        <v>369</v>
      </c>
      <c r="E523" t="s">
        <v>449</v>
      </c>
      <c r="F523" t="s">
        <v>471</v>
      </c>
      <c r="G523">
        <v>2664</v>
      </c>
      <c r="H523">
        <v>0.89</v>
      </c>
      <c r="I523">
        <v>2370.96</v>
      </c>
      <c r="J523">
        <v>0.66</v>
      </c>
      <c r="K523">
        <v>1758.24</v>
      </c>
      <c r="L523">
        <v>612.72</v>
      </c>
    </row>
    <row r="524" spans="1:12" x14ac:dyDescent="0.25">
      <c r="A524">
        <v>523</v>
      </c>
      <c r="B524" t="s">
        <v>303</v>
      </c>
      <c r="C524" t="s">
        <v>365</v>
      </c>
      <c r="D524" t="s">
        <v>367</v>
      </c>
      <c r="E524" t="s">
        <v>394</v>
      </c>
      <c r="F524" t="s">
        <v>474</v>
      </c>
      <c r="G524">
        <v>827</v>
      </c>
      <c r="H524">
        <v>0.91</v>
      </c>
      <c r="I524">
        <v>752.57</v>
      </c>
      <c r="J524">
        <v>0.62</v>
      </c>
      <c r="K524">
        <v>512.74</v>
      </c>
      <c r="L524">
        <v>239.83</v>
      </c>
    </row>
    <row r="525" spans="1:12" x14ac:dyDescent="0.25">
      <c r="A525">
        <v>524</v>
      </c>
      <c r="B525" t="s">
        <v>97</v>
      </c>
      <c r="C525" t="s">
        <v>364</v>
      </c>
      <c r="D525" t="s">
        <v>370</v>
      </c>
      <c r="E525" t="s">
        <v>415</v>
      </c>
      <c r="F525" t="s">
        <v>476</v>
      </c>
      <c r="G525">
        <v>3433</v>
      </c>
      <c r="H525">
        <v>0.85</v>
      </c>
      <c r="I525">
        <v>2918.05</v>
      </c>
      <c r="J525">
        <v>0.66</v>
      </c>
      <c r="K525">
        <v>2265.7800000000002</v>
      </c>
      <c r="L525">
        <v>652.27</v>
      </c>
    </row>
    <row r="526" spans="1:12" x14ac:dyDescent="0.25">
      <c r="A526">
        <v>525</v>
      </c>
      <c r="B526" t="s">
        <v>185</v>
      </c>
      <c r="C526" t="s">
        <v>366</v>
      </c>
      <c r="D526" t="s">
        <v>368</v>
      </c>
      <c r="E526" t="s">
        <v>430</v>
      </c>
      <c r="F526" t="s">
        <v>486</v>
      </c>
      <c r="G526">
        <v>4638</v>
      </c>
      <c r="H526">
        <v>0.91</v>
      </c>
      <c r="I526">
        <v>4220.58</v>
      </c>
      <c r="J526">
        <v>0.67</v>
      </c>
      <c r="K526">
        <v>3107.46</v>
      </c>
      <c r="L526">
        <v>1113.1199999999999</v>
      </c>
    </row>
    <row r="527" spans="1:12" x14ac:dyDescent="0.25">
      <c r="A527">
        <v>526</v>
      </c>
      <c r="B527" t="s">
        <v>108</v>
      </c>
      <c r="C527" t="s">
        <v>365</v>
      </c>
      <c r="D527" t="s">
        <v>367</v>
      </c>
      <c r="E527" t="s">
        <v>373</v>
      </c>
      <c r="F527" t="s">
        <v>485</v>
      </c>
      <c r="G527">
        <v>3218</v>
      </c>
      <c r="H527">
        <v>1.03</v>
      </c>
      <c r="I527">
        <v>3314.54</v>
      </c>
      <c r="J527">
        <v>0.69</v>
      </c>
      <c r="K527">
        <v>2220.42</v>
      </c>
      <c r="L527">
        <v>1094.1199999999999</v>
      </c>
    </row>
    <row r="528" spans="1:12" x14ac:dyDescent="0.25">
      <c r="A528">
        <v>527</v>
      </c>
      <c r="B528" t="s">
        <v>145</v>
      </c>
      <c r="C528" t="s">
        <v>363</v>
      </c>
      <c r="D528" t="s">
        <v>369</v>
      </c>
      <c r="E528" t="s">
        <v>409</v>
      </c>
      <c r="F528" t="s">
        <v>475</v>
      </c>
      <c r="G528">
        <v>4150</v>
      </c>
      <c r="H528">
        <v>0.97</v>
      </c>
      <c r="I528">
        <v>4025.5</v>
      </c>
      <c r="J528">
        <v>0.74</v>
      </c>
      <c r="K528">
        <v>3071</v>
      </c>
      <c r="L528">
        <v>954.5</v>
      </c>
    </row>
    <row r="529" spans="1:12" x14ac:dyDescent="0.25">
      <c r="A529">
        <v>528</v>
      </c>
      <c r="B529" t="s">
        <v>78</v>
      </c>
      <c r="C529" t="s">
        <v>363</v>
      </c>
      <c r="D529" t="s">
        <v>368</v>
      </c>
      <c r="E529" t="s">
        <v>411</v>
      </c>
      <c r="F529" t="s">
        <v>487</v>
      </c>
      <c r="G529">
        <v>3624</v>
      </c>
      <c r="H529">
        <v>1.44</v>
      </c>
      <c r="I529">
        <v>5218.5600000000004</v>
      </c>
      <c r="J529">
        <v>1.2</v>
      </c>
      <c r="K529">
        <v>4348.8</v>
      </c>
      <c r="L529">
        <v>869.76</v>
      </c>
    </row>
    <row r="530" spans="1:12" x14ac:dyDescent="0.25">
      <c r="A530">
        <v>529</v>
      </c>
      <c r="B530" t="s">
        <v>173</v>
      </c>
      <c r="C530" t="s">
        <v>365</v>
      </c>
      <c r="D530" t="s">
        <v>370</v>
      </c>
      <c r="E530" t="s">
        <v>435</v>
      </c>
      <c r="F530" t="s">
        <v>490</v>
      </c>
      <c r="G530">
        <v>3571</v>
      </c>
      <c r="H530">
        <v>1.1599999999999999</v>
      </c>
      <c r="I530">
        <v>4142.3599999999997</v>
      </c>
      <c r="J530">
        <v>0.84</v>
      </c>
      <c r="K530">
        <v>2999.64</v>
      </c>
      <c r="L530">
        <v>1142.72</v>
      </c>
    </row>
    <row r="531" spans="1:12" x14ac:dyDescent="0.25">
      <c r="A531">
        <v>530</v>
      </c>
      <c r="B531" t="s">
        <v>147</v>
      </c>
      <c r="C531" t="s">
        <v>365</v>
      </c>
      <c r="D531" t="s">
        <v>367</v>
      </c>
      <c r="E531" t="s">
        <v>420</v>
      </c>
      <c r="F531" t="s">
        <v>485</v>
      </c>
      <c r="G531">
        <v>3124</v>
      </c>
      <c r="H531">
        <v>1.1599999999999999</v>
      </c>
      <c r="I531">
        <v>3623.84</v>
      </c>
      <c r="J531">
        <v>0.97</v>
      </c>
      <c r="K531">
        <v>3030.28</v>
      </c>
      <c r="L531">
        <v>593.55999999999995</v>
      </c>
    </row>
    <row r="532" spans="1:12" x14ac:dyDescent="0.25">
      <c r="A532">
        <v>531</v>
      </c>
      <c r="B532" t="s">
        <v>249</v>
      </c>
      <c r="C532" t="s">
        <v>363</v>
      </c>
      <c r="D532" t="s">
        <v>367</v>
      </c>
      <c r="E532" t="s">
        <v>439</v>
      </c>
      <c r="F532" t="s">
        <v>485</v>
      </c>
      <c r="G532">
        <v>3975</v>
      </c>
      <c r="H532">
        <v>1.38</v>
      </c>
      <c r="I532">
        <v>5485.5</v>
      </c>
      <c r="J532">
        <v>0.9</v>
      </c>
      <c r="K532">
        <v>3577.5</v>
      </c>
      <c r="L532">
        <v>1908</v>
      </c>
    </row>
    <row r="533" spans="1:12" x14ac:dyDescent="0.25">
      <c r="A533">
        <v>532</v>
      </c>
      <c r="B533" t="s">
        <v>89</v>
      </c>
      <c r="C533" t="s">
        <v>363</v>
      </c>
      <c r="D533" t="s">
        <v>369</v>
      </c>
      <c r="E533" t="s">
        <v>432</v>
      </c>
      <c r="F533" t="s">
        <v>474</v>
      </c>
      <c r="G533">
        <v>694</v>
      </c>
      <c r="H533">
        <v>1.1200000000000001</v>
      </c>
      <c r="I533">
        <v>777.28</v>
      </c>
      <c r="J533">
        <v>0.76</v>
      </c>
      <c r="K533">
        <v>527.44000000000005</v>
      </c>
      <c r="L533">
        <v>249.84</v>
      </c>
    </row>
    <row r="534" spans="1:12" x14ac:dyDescent="0.25">
      <c r="A534">
        <v>533</v>
      </c>
      <c r="B534" t="s">
        <v>87</v>
      </c>
      <c r="C534" t="s">
        <v>363</v>
      </c>
      <c r="D534" t="s">
        <v>367</v>
      </c>
      <c r="E534" t="s">
        <v>445</v>
      </c>
      <c r="F534" t="s">
        <v>471</v>
      </c>
      <c r="G534">
        <v>1077</v>
      </c>
      <c r="H534">
        <v>1.2</v>
      </c>
      <c r="I534">
        <v>1292.4000000000001</v>
      </c>
      <c r="J534">
        <v>0.79</v>
      </c>
      <c r="K534">
        <v>850.83</v>
      </c>
      <c r="L534">
        <v>441.57</v>
      </c>
    </row>
    <row r="535" spans="1:12" x14ac:dyDescent="0.25">
      <c r="A535">
        <v>534</v>
      </c>
      <c r="B535" t="s">
        <v>289</v>
      </c>
      <c r="C535" t="s">
        <v>364</v>
      </c>
      <c r="D535" t="s">
        <v>369</v>
      </c>
      <c r="E535" t="s">
        <v>434</v>
      </c>
      <c r="F535" t="s">
        <v>484</v>
      </c>
      <c r="G535">
        <v>4047</v>
      </c>
      <c r="H535">
        <v>1.02</v>
      </c>
      <c r="I535">
        <v>4127.9399999999996</v>
      </c>
      <c r="J535">
        <v>0.71</v>
      </c>
      <c r="K535">
        <v>2873.37</v>
      </c>
      <c r="L535">
        <v>1254.57</v>
      </c>
    </row>
    <row r="536" spans="1:12" x14ac:dyDescent="0.25">
      <c r="A536">
        <v>535</v>
      </c>
      <c r="B536" t="s">
        <v>304</v>
      </c>
      <c r="C536" t="s">
        <v>363</v>
      </c>
      <c r="D536" t="s">
        <v>367</v>
      </c>
      <c r="E536" t="s">
        <v>463</v>
      </c>
      <c r="F536" t="s">
        <v>479</v>
      </c>
      <c r="G536">
        <v>872</v>
      </c>
      <c r="H536">
        <v>1.29</v>
      </c>
      <c r="I536">
        <v>1124.8800000000001</v>
      </c>
      <c r="J536">
        <v>0.8</v>
      </c>
      <c r="K536">
        <v>697.6</v>
      </c>
      <c r="L536">
        <v>427.28</v>
      </c>
    </row>
    <row r="537" spans="1:12" x14ac:dyDescent="0.25">
      <c r="A537">
        <v>536</v>
      </c>
      <c r="B537" t="s">
        <v>186</v>
      </c>
      <c r="C537" t="s">
        <v>365</v>
      </c>
      <c r="D537" t="s">
        <v>367</v>
      </c>
      <c r="E537" t="s">
        <v>411</v>
      </c>
      <c r="F537" t="s">
        <v>482</v>
      </c>
      <c r="G537">
        <v>1208</v>
      </c>
      <c r="H537">
        <v>1</v>
      </c>
      <c r="I537">
        <v>1208</v>
      </c>
      <c r="J537">
        <v>0.83</v>
      </c>
      <c r="K537">
        <v>1002.64</v>
      </c>
      <c r="L537">
        <v>205.36</v>
      </c>
    </row>
    <row r="538" spans="1:12" x14ac:dyDescent="0.25">
      <c r="A538">
        <v>537</v>
      </c>
      <c r="B538" t="s">
        <v>123</v>
      </c>
      <c r="C538" t="s">
        <v>363</v>
      </c>
      <c r="D538" t="s">
        <v>369</v>
      </c>
      <c r="E538" t="s">
        <v>393</v>
      </c>
      <c r="F538" t="s">
        <v>480</v>
      </c>
      <c r="G538">
        <v>4870</v>
      </c>
      <c r="H538">
        <v>0.95</v>
      </c>
      <c r="I538">
        <v>4626.5</v>
      </c>
      <c r="J538">
        <v>0.75</v>
      </c>
      <c r="K538">
        <v>3652.5</v>
      </c>
      <c r="L538">
        <v>974</v>
      </c>
    </row>
    <row r="539" spans="1:12" x14ac:dyDescent="0.25">
      <c r="A539">
        <v>538</v>
      </c>
      <c r="B539" t="s">
        <v>305</v>
      </c>
      <c r="C539" t="s">
        <v>366</v>
      </c>
      <c r="D539" t="s">
        <v>370</v>
      </c>
      <c r="E539" t="s">
        <v>443</v>
      </c>
      <c r="F539" t="s">
        <v>475</v>
      </c>
      <c r="G539">
        <v>591</v>
      </c>
      <c r="H539">
        <v>1.19</v>
      </c>
      <c r="I539">
        <v>703.29</v>
      </c>
      <c r="J539">
        <v>0.88</v>
      </c>
      <c r="K539">
        <v>520.08000000000004</v>
      </c>
      <c r="L539">
        <v>183.21</v>
      </c>
    </row>
    <row r="540" spans="1:12" x14ac:dyDescent="0.25">
      <c r="A540">
        <v>539</v>
      </c>
      <c r="B540" t="s">
        <v>62</v>
      </c>
      <c r="C540" t="s">
        <v>363</v>
      </c>
      <c r="D540" t="s">
        <v>367</v>
      </c>
      <c r="E540" t="s">
        <v>415</v>
      </c>
      <c r="F540" t="s">
        <v>489</v>
      </c>
      <c r="G540">
        <v>3728</v>
      </c>
      <c r="H540">
        <v>1.18</v>
      </c>
      <c r="I540">
        <v>4399.04</v>
      </c>
      <c r="J540">
        <v>0.99</v>
      </c>
      <c r="K540">
        <v>3690.72</v>
      </c>
      <c r="L540">
        <v>708.32</v>
      </c>
    </row>
    <row r="541" spans="1:12" x14ac:dyDescent="0.25">
      <c r="A541">
        <v>540</v>
      </c>
      <c r="B541" t="s">
        <v>286</v>
      </c>
      <c r="C541" t="s">
        <v>365</v>
      </c>
      <c r="D541" t="s">
        <v>368</v>
      </c>
      <c r="E541" t="s">
        <v>381</v>
      </c>
      <c r="F541" t="s">
        <v>481</v>
      </c>
      <c r="G541">
        <v>4698</v>
      </c>
      <c r="H541">
        <v>0.9</v>
      </c>
      <c r="I541">
        <v>4228.2</v>
      </c>
      <c r="J541">
        <v>0.57999999999999996</v>
      </c>
      <c r="K541">
        <v>2724.84</v>
      </c>
      <c r="L541">
        <v>1503.36</v>
      </c>
    </row>
    <row r="542" spans="1:12" x14ac:dyDescent="0.25">
      <c r="A542">
        <v>541</v>
      </c>
      <c r="B542" t="s">
        <v>301</v>
      </c>
      <c r="C542" t="s">
        <v>366</v>
      </c>
      <c r="D542" t="s">
        <v>370</v>
      </c>
      <c r="E542" t="s">
        <v>409</v>
      </c>
      <c r="F542" t="s">
        <v>480</v>
      </c>
      <c r="G542">
        <v>945</v>
      </c>
      <c r="H542">
        <v>1.4</v>
      </c>
      <c r="I542">
        <v>1323</v>
      </c>
      <c r="J542">
        <v>1.17</v>
      </c>
      <c r="K542">
        <v>1105.6500000000001</v>
      </c>
      <c r="L542">
        <v>217.35</v>
      </c>
    </row>
    <row r="543" spans="1:12" x14ac:dyDescent="0.25">
      <c r="A543">
        <v>542</v>
      </c>
      <c r="B543" t="s">
        <v>107</v>
      </c>
      <c r="C543" t="s">
        <v>363</v>
      </c>
      <c r="D543" t="s">
        <v>369</v>
      </c>
      <c r="E543" t="s">
        <v>386</v>
      </c>
      <c r="F543" t="s">
        <v>486</v>
      </c>
      <c r="G543">
        <v>2553</v>
      </c>
      <c r="H543">
        <v>0.87</v>
      </c>
      <c r="I543">
        <v>2221.11</v>
      </c>
      <c r="J543">
        <v>0.68</v>
      </c>
      <c r="K543">
        <v>1736.04</v>
      </c>
      <c r="L543">
        <v>485.07</v>
      </c>
    </row>
    <row r="544" spans="1:12" x14ac:dyDescent="0.25">
      <c r="A544">
        <v>543</v>
      </c>
      <c r="B544" t="s">
        <v>147</v>
      </c>
      <c r="C544" t="s">
        <v>365</v>
      </c>
      <c r="D544" t="s">
        <v>370</v>
      </c>
      <c r="E544" t="s">
        <v>410</v>
      </c>
      <c r="F544" t="s">
        <v>477</v>
      </c>
      <c r="G544">
        <v>1319</v>
      </c>
      <c r="H544">
        <v>1</v>
      </c>
      <c r="I544">
        <v>1319</v>
      </c>
      <c r="J544">
        <v>0.62</v>
      </c>
      <c r="K544">
        <v>817.78</v>
      </c>
      <c r="L544">
        <v>501.22</v>
      </c>
    </row>
    <row r="545" spans="1:12" x14ac:dyDescent="0.25">
      <c r="A545">
        <v>544</v>
      </c>
      <c r="B545" t="s">
        <v>302</v>
      </c>
      <c r="C545" t="s">
        <v>364</v>
      </c>
      <c r="D545" t="s">
        <v>370</v>
      </c>
      <c r="E545" t="s">
        <v>434</v>
      </c>
      <c r="F545" t="s">
        <v>487</v>
      </c>
      <c r="G545">
        <v>3004</v>
      </c>
      <c r="H545">
        <v>1.29</v>
      </c>
      <c r="I545">
        <v>3875.16</v>
      </c>
      <c r="J545">
        <v>0.82</v>
      </c>
      <c r="K545">
        <v>2463.2800000000002</v>
      </c>
      <c r="L545">
        <v>1411.88</v>
      </c>
    </row>
    <row r="546" spans="1:12" x14ac:dyDescent="0.25">
      <c r="A546">
        <v>545</v>
      </c>
      <c r="B546" t="s">
        <v>206</v>
      </c>
      <c r="C546" t="s">
        <v>365</v>
      </c>
      <c r="D546" t="s">
        <v>370</v>
      </c>
      <c r="E546" t="s">
        <v>449</v>
      </c>
      <c r="F546" t="s">
        <v>480</v>
      </c>
      <c r="G546">
        <v>539</v>
      </c>
      <c r="H546">
        <v>1.02</v>
      </c>
      <c r="I546">
        <v>549.78</v>
      </c>
      <c r="J546">
        <v>0.81</v>
      </c>
      <c r="K546">
        <v>436.59</v>
      </c>
      <c r="L546">
        <v>113.19</v>
      </c>
    </row>
    <row r="547" spans="1:12" x14ac:dyDescent="0.25">
      <c r="A547">
        <v>546</v>
      </c>
      <c r="B547" t="s">
        <v>228</v>
      </c>
      <c r="C547" t="s">
        <v>365</v>
      </c>
      <c r="D547" t="s">
        <v>369</v>
      </c>
      <c r="E547" t="s">
        <v>383</v>
      </c>
      <c r="F547" t="s">
        <v>474</v>
      </c>
      <c r="G547">
        <v>3216</v>
      </c>
      <c r="H547">
        <v>1.41</v>
      </c>
      <c r="I547">
        <v>4534.5600000000004</v>
      </c>
      <c r="J547">
        <v>1.01</v>
      </c>
      <c r="K547">
        <v>3248.16</v>
      </c>
      <c r="L547">
        <v>1286.4000000000001</v>
      </c>
    </row>
    <row r="548" spans="1:12" x14ac:dyDescent="0.25">
      <c r="A548">
        <v>547</v>
      </c>
      <c r="B548" t="s">
        <v>306</v>
      </c>
      <c r="C548" t="s">
        <v>364</v>
      </c>
      <c r="D548" t="s">
        <v>370</v>
      </c>
      <c r="E548" t="s">
        <v>385</v>
      </c>
      <c r="F548" t="s">
        <v>488</v>
      </c>
      <c r="G548">
        <v>1939</v>
      </c>
      <c r="H548">
        <v>1.25</v>
      </c>
      <c r="I548">
        <v>2423.75</v>
      </c>
      <c r="J548">
        <v>0.78</v>
      </c>
      <c r="K548">
        <v>1512.42</v>
      </c>
      <c r="L548">
        <v>911.33</v>
      </c>
    </row>
    <row r="549" spans="1:12" x14ac:dyDescent="0.25">
      <c r="A549">
        <v>548</v>
      </c>
      <c r="B549" t="s">
        <v>269</v>
      </c>
      <c r="C549" t="s">
        <v>366</v>
      </c>
      <c r="D549" t="s">
        <v>368</v>
      </c>
      <c r="E549" t="s">
        <v>382</v>
      </c>
      <c r="F549" t="s">
        <v>486</v>
      </c>
      <c r="G549">
        <v>1117</v>
      </c>
      <c r="H549">
        <v>1.42</v>
      </c>
      <c r="I549">
        <v>1586.14</v>
      </c>
      <c r="J549">
        <v>1.1499999999999999</v>
      </c>
      <c r="K549">
        <v>1284.55</v>
      </c>
      <c r="L549">
        <v>301.58999999999997</v>
      </c>
    </row>
    <row r="550" spans="1:12" x14ac:dyDescent="0.25">
      <c r="A550">
        <v>549</v>
      </c>
      <c r="B550" t="s">
        <v>118</v>
      </c>
      <c r="C550" t="s">
        <v>364</v>
      </c>
      <c r="D550" t="s">
        <v>367</v>
      </c>
      <c r="E550" t="s">
        <v>380</v>
      </c>
      <c r="F550" t="s">
        <v>479</v>
      </c>
      <c r="G550">
        <v>2242</v>
      </c>
      <c r="H550">
        <v>1.43</v>
      </c>
      <c r="I550">
        <v>3206.06</v>
      </c>
      <c r="J550">
        <v>1.06</v>
      </c>
      <c r="K550">
        <v>2376.52</v>
      </c>
      <c r="L550">
        <v>829.54</v>
      </c>
    </row>
    <row r="551" spans="1:12" x14ac:dyDescent="0.25">
      <c r="A551">
        <v>550</v>
      </c>
      <c r="B551" t="s">
        <v>113</v>
      </c>
      <c r="C551" t="s">
        <v>366</v>
      </c>
      <c r="D551" t="s">
        <v>369</v>
      </c>
      <c r="E551" t="s">
        <v>383</v>
      </c>
      <c r="F551" t="s">
        <v>484</v>
      </c>
      <c r="G551">
        <v>2329</v>
      </c>
      <c r="H551">
        <v>1.42</v>
      </c>
      <c r="I551">
        <v>3307.18</v>
      </c>
      <c r="J551">
        <v>1.06</v>
      </c>
      <c r="K551">
        <v>2468.7399999999998</v>
      </c>
      <c r="L551">
        <v>838.44</v>
      </c>
    </row>
    <row r="552" spans="1:12" x14ac:dyDescent="0.25">
      <c r="A552">
        <v>551</v>
      </c>
      <c r="B552" t="s">
        <v>183</v>
      </c>
      <c r="C552" t="s">
        <v>364</v>
      </c>
      <c r="D552" t="s">
        <v>368</v>
      </c>
      <c r="E552" t="s">
        <v>405</v>
      </c>
      <c r="F552" t="s">
        <v>490</v>
      </c>
      <c r="G552">
        <v>1241</v>
      </c>
      <c r="H552">
        <v>1.08</v>
      </c>
      <c r="I552">
        <v>1340.28</v>
      </c>
      <c r="J552">
        <v>0.78</v>
      </c>
      <c r="K552">
        <v>967.98</v>
      </c>
      <c r="L552">
        <v>372.3</v>
      </c>
    </row>
    <row r="553" spans="1:12" x14ac:dyDescent="0.25">
      <c r="A553">
        <v>552</v>
      </c>
      <c r="B553" t="s">
        <v>307</v>
      </c>
      <c r="C553" t="s">
        <v>366</v>
      </c>
      <c r="D553" t="s">
        <v>368</v>
      </c>
      <c r="E553" t="s">
        <v>463</v>
      </c>
      <c r="F553" t="s">
        <v>490</v>
      </c>
      <c r="G553">
        <v>1649</v>
      </c>
      <c r="H553">
        <v>1.1100000000000001</v>
      </c>
      <c r="I553">
        <v>1830.39</v>
      </c>
      <c r="J553">
        <v>0.72</v>
      </c>
      <c r="K553">
        <v>1187.28</v>
      </c>
      <c r="L553">
        <v>643.11</v>
      </c>
    </row>
    <row r="554" spans="1:12" x14ac:dyDescent="0.25">
      <c r="A554">
        <v>553</v>
      </c>
      <c r="B554" t="s">
        <v>252</v>
      </c>
      <c r="C554" t="s">
        <v>364</v>
      </c>
      <c r="D554" t="s">
        <v>368</v>
      </c>
      <c r="E554" t="s">
        <v>375</v>
      </c>
      <c r="F554" t="s">
        <v>478</v>
      </c>
      <c r="G554">
        <v>2292</v>
      </c>
      <c r="H554">
        <v>1.33</v>
      </c>
      <c r="I554">
        <v>3048.36</v>
      </c>
      <c r="J554">
        <v>0.88</v>
      </c>
      <c r="K554">
        <v>2016.96</v>
      </c>
      <c r="L554">
        <v>1031.4000000000001</v>
      </c>
    </row>
    <row r="555" spans="1:12" x14ac:dyDescent="0.25">
      <c r="A555">
        <v>554</v>
      </c>
      <c r="B555" t="s">
        <v>308</v>
      </c>
      <c r="C555" t="s">
        <v>366</v>
      </c>
      <c r="D555" t="s">
        <v>370</v>
      </c>
      <c r="E555" t="s">
        <v>377</v>
      </c>
      <c r="F555" t="s">
        <v>485</v>
      </c>
      <c r="G555">
        <v>4742</v>
      </c>
      <c r="H555">
        <v>1.44</v>
      </c>
      <c r="I555">
        <v>6828.48</v>
      </c>
      <c r="J555">
        <v>0.99</v>
      </c>
      <c r="K555">
        <v>4694.58</v>
      </c>
      <c r="L555">
        <v>2133.9</v>
      </c>
    </row>
    <row r="556" spans="1:12" x14ac:dyDescent="0.25">
      <c r="A556">
        <v>555</v>
      </c>
      <c r="B556" t="s">
        <v>56</v>
      </c>
      <c r="C556" t="s">
        <v>363</v>
      </c>
      <c r="D556" t="s">
        <v>369</v>
      </c>
      <c r="E556" t="s">
        <v>377</v>
      </c>
      <c r="F556" t="s">
        <v>487</v>
      </c>
      <c r="G556">
        <v>1345</v>
      </c>
      <c r="H556">
        <v>1.29</v>
      </c>
      <c r="I556">
        <v>1735.05</v>
      </c>
      <c r="J556">
        <v>0.94</v>
      </c>
      <c r="K556">
        <v>1264.3</v>
      </c>
      <c r="L556">
        <v>470.75</v>
      </c>
    </row>
    <row r="557" spans="1:12" x14ac:dyDescent="0.25">
      <c r="A557">
        <v>556</v>
      </c>
      <c r="B557" t="s">
        <v>124</v>
      </c>
      <c r="C557" t="s">
        <v>366</v>
      </c>
      <c r="D557" t="s">
        <v>370</v>
      </c>
      <c r="E557" t="s">
        <v>464</v>
      </c>
      <c r="F557" t="s">
        <v>484</v>
      </c>
      <c r="G557">
        <v>3492</v>
      </c>
      <c r="H557">
        <v>1.21</v>
      </c>
      <c r="I557">
        <v>4225.32</v>
      </c>
      <c r="J557">
        <v>1</v>
      </c>
      <c r="K557">
        <v>3492</v>
      </c>
      <c r="L557">
        <v>733.32</v>
      </c>
    </row>
    <row r="558" spans="1:12" x14ac:dyDescent="0.25">
      <c r="A558">
        <v>557</v>
      </c>
      <c r="B558" t="s">
        <v>151</v>
      </c>
      <c r="C558" t="s">
        <v>364</v>
      </c>
      <c r="D558" t="s">
        <v>370</v>
      </c>
      <c r="E558" t="s">
        <v>373</v>
      </c>
      <c r="F558" t="s">
        <v>490</v>
      </c>
      <c r="G558">
        <v>3824</v>
      </c>
      <c r="H558">
        <v>1.05</v>
      </c>
      <c r="I558">
        <v>4015.2</v>
      </c>
      <c r="J558">
        <v>0.86</v>
      </c>
      <c r="K558">
        <v>3288.64</v>
      </c>
      <c r="L558">
        <v>726.56</v>
      </c>
    </row>
    <row r="559" spans="1:12" x14ac:dyDescent="0.25">
      <c r="A559">
        <v>558</v>
      </c>
      <c r="B559" t="s">
        <v>147</v>
      </c>
      <c r="C559" t="s">
        <v>363</v>
      </c>
      <c r="D559" t="s">
        <v>369</v>
      </c>
      <c r="E559" t="s">
        <v>405</v>
      </c>
      <c r="F559" t="s">
        <v>474</v>
      </c>
      <c r="G559">
        <v>4103</v>
      </c>
      <c r="H559">
        <v>0.92</v>
      </c>
      <c r="I559">
        <v>3774.76</v>
      </c>
      <c r="J559">
        <v>0.56999999999999995</v>
      </c>
      <c r="K559">
        <v>2338.71</v>
      </c>
      <c r="L559">
        <v>1436.05</v>
      </c>
    </row>
    <row r="560" spans="1:12" x14ac:dyDescent="0.25">
      <c r="A560">
        <v>559</v>
      </c>
      <c r="B560" t="s">
        <v>22</v>
      </c>
      <c r="C560" t="s">
        <v>366</v>
      </c>
      <c r="D560" t="s">
        <v>370</v>
      </c>
      <c r="E560" t="s">
        <v>399</v>
      </c>
      <c r="F560" t="s">
        <v>480</v>
      </c>
      <c r="G560">
        <v>1789</v>
      </c>
      <c r="H560">
        <v>1.05</v>
      </c>
      <c r="I560">
        <v>1878.45</v>
      </c>
      <c r="J560">
        <v>0.82</v>
      </c>
      <c r="K560">
        <v>1466.98</v>
      </c>
      <c r="L560">
        <v>411.47</v>
      </c>
    </row>
    <row r="561" spans="1:12" x14ac:dyDescent="0.25">
      <c r="A561">
        <v>560</v>
      </c>
      <c r="B561" t="s">
        <v>304</v>
      </c>
      <c r="C561" t="s">
        <v>364</v>
      </c>
      <c r="D561" t="s">
        <v>368</v>
      </c>
      <c r="E561" t="s">
        <v>423</v>
      </c>
      <c r="F561" t="s">
        <v>488</v>
      </c>
      <c r="G561">
        <v>4444</v>
      </c>
      <c r="H561">
        <v>1.27</v>
      </c>
      <c r="I561">
        <v>5643.88</v>
      </c>
      <c r="J561">
        <v>0.91</v>
      </c>
      <c r="K561">
        <v>4044.04</v>
      </c>
      <c r="L561">
        <v>1599.84</v>
      </c>
    </row>
    <row r="562" spans="1:12" x14ac:dyDescent="0.25">
      <c r="A562">
        <v>561</v>
      </c>
      <c r="B562" t="s">
        <v>271</v>
      </c>
      <c r="C562" t="s">
        <v>364</v>
      </c>
      <c r="D562" t="s">
        <v>368</v>
      </c>
      <c r="E562" t="s">
        <v>467</v>
      </c>
      <c r="F562" t="s">
        <v>477</v>
      </c>
      <c r="G562">
        <v>853</v>
      </c>
      <c r="H562">
        <v>0.89</v>
      </c>
      <c r="I562">
        <v>759.17</v>
      </c>
      <c r="J562">
        <v>0.67</v>
      </c>
      <c r="K562">
        <v>571.51</v>
      </c>
      <c r="L562">
        <v>187.66</v>
      </c>
    </row>
    <row r="563" spans="1:12" x14ac:dyDescent="0.25">
      <c r="A563">
        <v>562</v>
      </c>
      <c r="B563" t="s">
        <v>209</v>
      </c>
      <c r="C563" t="s">
        <v>366</v>
      </c>
      <c r="D563" t="s">
        <v>367</v>
      </c>
      <c r="E563" t="s">
        <v>400</v>
      </c>
      <c r="F563" t="s">
        <v>480</v>
      </c>
      <c r="G563">
        <v>2615</v>
      </c>
      <c r="H563">
        <v>1.45</v>
      </c>
      <c r="I563">
        <v>3791.75</v>
      </c>
      <c r="J563">
        <v>1.06</v>
      </c>
      <c r="K563">
        <v>2771.9</v>
      </c>
      <c r="L563">
        <v>1019.85</v>
      </c>
    </row>
    <row r="564" spans="1:12" x14ac:dyDescent="0.25">
      <c r="A564">
        <v>563</v>
      </c>
      <c r="B564" t="s">
        <v>243</v>
      </c>
      <c r="C564" t="s">
        <v>365</v>
      </c>
      <c r="D564" t="s">
        <v>367</v>
      </c>
      <c r="E564" t="s">
        <v>376</v>
      </c>
      <c r="F564" t="s">
        <v>485</v>
      </c>
      <c r="G564">
        <v>4179</v>
      </c>
      <c r="H564">
        <v>1.22</v>
      </c>
      <c r="I564">
        <v>5098.38</v>
      </c>
      <c r="J564">
        <v>0.88</v>
      </c>
      <c r="K564">
        <v>3677.52</v>
      </c>
      <c r="L564">
        <v>1420.86</v>
      </c>
    </row>
    <row r="565" spans="1:12" x14ac:dyDescent="0.25">
      <c r="A565">
        <v>564</v>
      </c>
      <c r="B565" t="s">
        <v>291</v>
      </c>
      <c r="C565" t="s">
        <v>366</v>
      </c>
      <c r="D565" t="s">
        <v>368</v>
      </c>
      <c r="E565" t="s">
        <v>438</v>
      </c>
      <c r="F565" t="s">
        <v>489</v>
      </c>
      <c r="G565">
        <v>1669</v>
      </c>
      <c r="H565">
        <v>1.36</v>
      </c>
      <c r="I565">
        <v>2269.84</v>
      </c>
      <c r="J565">
        <v>1.0900000000000001</v>
      </c>
      <c r="K565">
        <v>1819.21</v>
      </c>
      <c r="L565">
        <v>450.63</v>
      </c>
    </row>
    <row r="566" spans="1:12" x14ac:dyDescent="0.25">
      <c r="A566">
        <v>565</v>
      </c>
      <c r="B566" t="s">
        <v>290</v>
      </c>
      <c r="C566" t="s">
        <v>366</v>
      </c>
      <c r="D566" t="s">
        <v>370</v>
      </c>
      <c r="E566" t="s">
        <v>451</v>
      </c>
      <c r="F566" t="s">
        <v>487</v>
      </c>
      <c r="G566">
        <v>4214</v>
      </c>
      <c r="H566">
        <v>1.22</v>
      </c>
      <c r="I566">
        <v>5141.08</v>
      </c>
      <c r="J566">
        <v>0.75</v>
      </c>
      <c r="K566">
        <v>3160.5</v>
      </c>
      <c r="L566">
        <v>1980.58</v>
      </c>
    </row>
    <row r="567" spans="1:12" x14ac:dyDescent="0.25">
      <c r="A567">
        <v>566</v>
      </c>
      <c r="B567" t="s">
        <v>309</v>
      </c>
      <c r="C567" t="s">
        <v>366</v>
      </c>
      <c r="D567" t="s">
        <v>369</v>
      </c>
      <c r="E567" t="s">
        <v>450</v>
      </c>
      <c r="F567" t="s">
        <v>472</v>
      </c>
      <c r="G567">
        <v>2157</v>
      </c>
      <c r="H567">
        <v>1.17</v>
      </c>
      <c r="I567">
        <v>2523.69</v>
      </c>
      <c r="J567">
        <v>0.97</v>
      </c>
      <c r="K567">
        <v>2092.29</v>
      </c>
      <c r="L567">
        <v>431.4</v>
      </c>
    </row>
    <row r="568" spans="1:12" x14ac:dyDescent="0.25">
      <c r="A568">
        <v>567</v>
      </c>
      <c r="B568" t="s">
        <v>171</v>
      </c>
      <c r="C568" t="s">
        <v>366</v>
      </c>
      <c r="D568" t="s">
        <v>369</v>
      </c>
      <c r="E568" t="s">
        <v>444</v>
      </c>
      <c r="F568" t="s">
        <v>488</v>
      </c>
      <c r="G568">
        <v>1953</v>
      </c>
      <c r="H568">
        <v>1.1299999999999999</v>
      </c>
      <c r="I568">
        <v>2206.89</v>
      </c>
      <c r="J568">
        <v>0.85</v>
      </c>
      <c r="K568">
        <v>1660.05</v>
      </c>
      <c r="L568">
        <v>546.84</v>
      </c>
    </row>
    <row r="569" spans="1:12" x14ac:dyDescent="0.25">
      <c r="A569">
        <v>568</v>
      </c>
      <c r="B569" t="s">
        <v>204</v>
      </c>
      <c r="C569" t="s">
        <v>363</v>
      </c>
      <c r="D569" t="s">
        <v>367</v>
      </c>
      <c r="E569" t="s">
        <v>468</v>
      </c>
      <c r="F569" t="s">
        <v>474</v>
      </c>
      <c r="G569">
        <v>4917</v>
      </c>
      <c r="H569">
        <v>1.38</v>
      </c>
      <c r="I569">
        <v>6785.46</v>
      </c>
      <c r="J569">
        <v>1.1399999999999999</v>
      </c>
      <c r="K569">
        <v>5605.38</v>
      </c>
      <c r="L569">
        <v>1180.08</v>
      </c>
    </row>
    <row r="570" spans="1:12" x14ac:dyDescent="0.25">
      <c r="A570">
        <v>569</v>
      </c>
      <c r="B570" t="s">
        <v>310</v>
      </c>
      <c r="C570" t="s">
        <v>364</v>
      </c>
      <c r="D570" t="s">
        <v>369</v>
      </c>
      <c r="E570" t="s">
        <v>466</v>
      </c>
      <c r="F570" t="s">
        <v>478</v>
      </c>
      <c r="G570">
        <v>4840</v>
      </c>
      <c r="H570">
        <v>1.1000000000000001</v>
      </c>
      <c r="I570">
        <v>5324</v>
      </c>
      <c r="J570">
        <v>0.92</v>
      </c>
      <c r="K570">
        <v>4452.8</v>
      </c>
      <c r="L570">
        <v>871.2</v>
      </c>
    </row>
    <row r="571" spans="1:12" x14ac:dyDescent="0.25">
      <c r="A571">
        <v>570</v>
      </c>
      <c r="B571" t="s">
        <v>291</v>
      </c>
      <c r="C571" t="s">
        <v>365</v>
      </c>
      <c r="D571" t="s">
        <v>369</v>
      </c>
      <c r="E571" t="s">
        <v>426</v>
      </c>
      <c r="F571" t="s">
        <v>479</v>
      </c>
      <c r="G571">
        <v>1300</v>
      </c>
      <c r="H571">
        <v>1.1000000000000001</v>
      </c>
      <c r="I571">
        <v>1430</v>
      </c>
      <c r="J571">
        <v>0.73</v>
      </c>
      <c r="K571">
        <v>949</v>
      </c>
      <c r="L571">
        <v>481</v>
      </c>
    </row>
    <row r="572" spans="1:12" x14ac:dyDescent="0.25">
      <c r="A572">
        <v>571</v>
      </c>
      <c r="B572" t="s">
        <v>136</v>
      </c>
      <c r="C572" t="s">
        <v>365</v>
      </c>
      <c r="D572" t="s">
        <v>367</v>
      </c>
      <c r="E572" t="s">
        <v>448</v>
      </c>
      <c r="F572" t="s">
        <v>476</v>
      </c>
      <c r="G572">
        <v>3847</v>
      </c>
      <c r="H572">
        <v>0.98</v>
      </c>
      <c r="I572">
        <v>3770.06</v>
      </c>
      <c r="J572">
        <v>0.59</v>
      </c>
      <c r="K572">
        <v>2269.73</v>
      </c>
      <c r="L572">
        <v>1500.33</v>
      </c>
    </row>
    <row r="573" spans="1:12" x14ac:dyDescent="0.25">
      <c r="A573">
        <v>572</v>
      </c>
      <c r="B573" t="s">
        <v>235</v>
      </c>
      <c r="C573" t="s">
        <v>363</v>
      </c>
      <c r="D573" t="s">
        <v>367</v>
      </c>
      <c r="E573" t="s">
        <v>464</v>
      </c>
      <c r="F573" t="s">
        <v>485</v>
      </c>
      <c r="G573">
        <v>3087</v>
      </c>
      <c r="H573">
        <v>1.0900000000000001</v>
      </c>
      <c r="I573">
        <v>3364.83</v>
      </c>
      <c r="J573">
        <v>0.68</v>
      </c>
      <c r="K573">
        <v>2099.16</v>
      </c>
      <c r="L573">
        <v>1265.67</v>
      </c>
    </row>
    <row r="574" spans="1:12" x14ac:dyDescent="0.25">
      <c r="A574">
        <v>573</v>
      </c>
      <c r="B574" t="s">
        <v>139</v>
      </c>
      <c r="C574" t="s">
        <v>365</v>
      </c>
      <c r="D574" t="s">
        <v>370</v>
      </c>
      <c r="E574" t="s">
        <v>379</v>
      </c>
      <c r="F574" t="s">
        <v>481</v>
      </c>
      <c r="G574">
        <v>3495</v>
      </c>
      <c r="H574">
        <v>1.23</v>
      </c>
      <c r="I574">
        <v>4298.8500000000004</v>
      </c>
      <c r="J574">
        <v>1.04</v>
      </c>
      <c r="K574">
        <v>3634.8</v>
      </c>
      <c r="L574">
        <v>664.05</v>
      </c>
    </row>
    <row r="575" spans="1:12" x14ac:dyDescent="0.25">
      <c r="A575">
        <v>574</v>
      </c>
      <c r="B575" t="s">
        <v>226</v>
      </c>
      <c r="C575" t="s">
        <v>364</v>
      </c>
      <c r="D575" t="s">
        <v>368</v>
      </c>
      <c r="E575" t="s">
        <v>385</v>
      </c>
      <c r="F575" t="s">
        <v>476</v>
      </c>
      <c r="G575">
        <v>4452</v>
      </c>
      <c r="H575">
        <v>0.93</v>
      </c>
      <c r="I575">
        <v>4140.3599999999997</v>
      </c>
      <c r="J575">
        <v>0.69</v>
      </c>
      <c r="K575">
        <v>3071.88</v>
      </c>
      <c r="L575">
        <v>1068.48</v>
      </c>
    </row>
    <row r="576" spans="1:12" x14ac:dyDescent="0.25">
      <c r="A576">
        <v>575</v>
      </c>
      <c r="B576" t="s">
        <v>242</v>
      </c>
      <c r="C576" t="s">
        <v>365</v>
      </c>
      <c r="D576" t="s">
        <v>370</v>
      </c>
      <c r="E576" t="s">
        <v>415</v>
      </c>
      <c r="F576" t="s">
        <v>475</v>
      </c>
      <c r="G576">
        <v>3761</v>
      </c>
      <c r="H576">
        <v>1.32</v>
      </c>
      <c r="I576">
        <v>4964.5200000000004</v>
      </c>
      <c r="J576">
        <v>1.07</v>
      </c>
      <c r="K576">
        <v>4024.27</v>
      </c>
      <c r="L576">
        <v>940.25</v>
      </c>
    </row>
    <row r="577" spans="1:12" x14ac:dyDescent="0.25">
      <c r="A577">
        <v>576</v>
      </c>
      <c r="B577" t="s">
        <v>311</v>
      </c>
      <c r="C577" t="s">
        <v>366</v>
      </c>
      <c r="D577" t="s">
        <v>367</v>
      </c>
      <c r="E577" t="s">
        <v>434</v>
      </c>
      <c r="F577" t="s">
        <v>480</v>
      </c>
      <c r="G577">
        <v>1321</v>
      </c>
      <c r="H577">
        <v>0.95</v>
      </c>
      <c r="I577">
        <v>1254.95</v>
      </c>
      <c r="J577">
        <v>0.67</v>
      </c>
      <c r="K577">
        <v>885.07</v>
      </c>
      <c r="L577">
        <v>369.88</v>
      </c>
    </row>
    <row r="578" spans="1:12" x14ac:dyDescent="0.25">
      <c r="A578">
        <v>577</v>
      </c>
      <c r="B578" t="s">
        <v>312</v>
      </c>
      <c r="C578" t="s">
        <v>366</v>
      </c>
      <c r="D578" t="s">
        <v>367</v>
      </c>
      <c r="E578" t="s">
        <v>440</v>
      </c>
      <c r="F578" t="s">
        <v>472</v>
      </c>
      <c r="G578">
        <v>1246</v>
      </c>
      <c r="H578">
        <v>1.38</v>
      </c>
      <c r="I578">
        <v>1719.48</v>
      </c>
      <c r="J578">
        <v>0.99</v>
      </c>
      <c r="K578">
        <v>1233.54</v>
      </c>
      <c r="L578">
        <v>485.94</v>
      </c>
    </row>
    <row r="579" spans="1:12" x14ac:dyDescent="0.25">
      <c r="A579">
        <v>578</v>
      </c>
      <c r="B579" t="s">
        <v>288</v>
      </c>
      <c r="C579" t="s">
        <v>363</v>
      </c>
      <c r="D579" t="s">
        <v>369</v>
      </c>
      <c r="E579" t="s">
        <v>458</v>
      </c>
      <c r="F579" t="s">
        <v>471</v>
      </c>
      <c r="G579">
        <v>2316</v>
      </c>
      <c r="H579">
        <v>1.06</v>
      </c>
      <c r="I579">
        <v>2454.96</v>
      </c>
      <c r="J579">
        <v>0.8</v>
      </c>
      <c r="K579">
        <v>1852.8</v>
      </c>
      <c r="L579">
        <v>602.16</v>
      </c>
    </row>
    <row r="580" spans="1:12" x14ac:dyDescent="0.25">
      <c r="A580">
        <v>579</v>
      </c>
      <c r="B580" t="s">
        <v>179</v>
      </c>
      <c r="C580" t="s">
        <v>365</v>
      </c>
      <c r="D580" t="s">
        <v>369</v>
      </c>
      <c r="E580" t="s">
        <v>390</v>
      </c>
      <c r="F580" t="s">
        <v>489</v>
      </c>
      <c r="G580">
        <v>970</v>
      </c>
      <c r="H580">
        <v>1.46</v>
      </c>
      <c r="I580">
        <v>1416.2</v>
      </c>
      <c r="J580">
        <v>1.18</v>
      </c>
      <c r="K580">
        <v>1144.5999999999999</v>
      </c>
      <c r="L580">
        <v>271.60000000000002</v>
      </c>
    </row>
    <row r="581" spans="1:12" x14ac:dyDescent="0.25">
      <c r="A581">
        <v>580</v>
      </c>
      <c r="B581" t="s">
        <v>12</v>
      </c>
      <c r="C581" t="s">
        <v>364</v>
      </c>
      <c r="D581" t="s">
        <v>369</v>
      </c>
      <c r="E581" t="s">
        <v>447</v>
      </c>
      <c r="F581" t="s">
        <v>485</v>
      </c>
      <c r="G581">
        <v>4744</v>
      </c>
      <c r="H581">
        <v>1</v>
      </c>
      <c r="I581">
        <v>4744</v>
      </c>
      <c r="J581">
        <v>0.61</v>
      </c>
      <c r="K581">
        <v>2893.84</v>
      </c>
      <c r="L581">
        <v>1850.16</v>
      </c>
    </row>
    <row r="582" spans="1:12" x14ac:dyDescent="0.25">
      <c r="A582">
        <v>581</v>
      </c>
      <c r="B582" t="s">
        <v>313</v>
      </c>
      <c r="C582" t="s">
        <v>366</v>
      </c>
      <c r="D582" t="s">
        <v>368</v>
      </c>
      <c r="E582" t="s">
        <v>414</v>
      </c>
      <c r="F582" t="s">
        <v>478</v>
      </c>
      <c r="G582">
        <v>3446</v>
      </c>
      <c r="H582">
        <v>0.97</v>
      </c>
      <c r="I582">
        <v>3342.62</v>
      </c>
      <c r="J582">
        <v>0.57999999999999996</v>
      </c>
      <c r="K582">
        <v>1998.68</v>
      </c>
      <c r="L582">
        <v>1343.94</v>
      </c>
    </row>
    <row r="583" spans="1:12" x14ac:dyDescent="0.25">
      <c r="A583">
        <v>582</v>
      </c>
      <c r="B583" t="s">
        <v>42</v>
      </c>
      <c r="C583" t="s">
        <v>365</v>
      </c>
      <c r="D583" t="s">
        <v>367</v>
      </c>
      <c r="E583" t="s">
        <v>427</v>
      </c>
      <c r="F583" t="s">
        <v>484</v>
      </c>
      <c r="G583">
        <v>3392</v>
      </c>
      <c r="H583">
        <v>1.27</v>
      </c>
      <c r="I583">
        <v>4307.84</v>
      </c>
      <c r="J583">
        <v>0.89</v>
      </c>
      <c r="K583">
        <v>3018.88</v>
      </c>
      <c r="L583">
        <v>1288.96</v>
      </c>
    </row>
    <row r="584" spans="1:12" x14ac:dyDescent="0.25">
      <c r="A584">
        <v>583</v>
      </c>
      <c r="B584" t="s">
        <v>161</v>
      </c>
      <c r="C584" t="s">
        <v>363</v>
      </c>
      <c r="D584" t="s">
        <v>367</v>
      </c>
      <c r="E584" t="s">
        <v>437</v>
      </c>
      <c r="F584" t="s">
        <v>476</v>
      </c>
      <c r="G584">
        <v>2830</v>
      </c>
      <c r="H584">
        <v>1.31</v>
      </c>
      <c r="I584">
        <v>3707.3</v>
      </c>
      <c r="J584">
        <v>0.97</v>
      </c>
      <c r="K584">
        <v>2745.1</v>
      </c>
      <c r="L584">
        <v>962.2</v>
      </c>
    </row>
    <row r="585" spans="1:12" x14ac:dyDescent="0.25">
      <c r="A585">
        <v>584</v>
      </c>
      <c r="B585" t="s">
        <v>52</v>
      </c>
      <c r="C585" t="s">
        <v>365</v>
      </c>
      <c r="D585" t="s">
        <v>370</v>
      </c>
      <c r="E585" t="s">
        <v>374</v>
      </c>
      <c r="F585" t="s">
        <v>477</v>
      </c>
      <c r="G585">
        <v>2093</v>
      </c>
      <c r="H585">
        <v>1.1200000000000001</v>
      </c>
      <c r="I585">
        <v>2344.16</v>
      </c>
      <c r="J585">
        <v>0.79</v>
      </c>
      <c r="K585">
        <v>1653.47</v>
      </c>
      <c r="L585">
        <v>690.69</v>
      </c>
    </row>
    <row r="586" spans="1:12" x14ac:dyDescent="0.25">
      <c r="A586">
        <v>585</v>
      </c>
      <c r="B586" t="s">
        <v>314</v>
      </c>
      <c r="C586" t="s">
        <v>366</v>
      </c>
      <c r="D586" t="s">
        <v>370</v>
      </c>
      <c r="E586" t="s">
        <v>438</v>
      </c>
      <c r="F586" t="s">
        <v>490</v>
      </c>
      <c r="G586">
        <v>1372</v>
      </c>
      <c r="H586">
        <v>1.19</v>
      </c>
      <c r="I586">
        <v>1632.68</v>
      </c>
      <c r="J586">
        <v>0.86</v>
      </c>
      <c r="K586">
        <v>1179.92</v>
      </c>
      <c r="L586">
        <v>452.76</v>
      </c>
    </row>
    <row r="587" spans="1:12" x14ac:dyDescent="0.25">
      <c r="A587">
        <v>586</v>
      </c>
      <c r="B587" t="s">
        <v>315</v>
      </c>
      <c r="C587" t="s">
        <v>365</v>
      </c>
      <c r="D587" t="s">
        <v>367</v>
      </c>
      <c r="E587" t="s">
        <v>379</v>
      </c>
      <c r="F587" t="s">
        <v>479</v>
      </c>
      <c r="G587">
        <v>2549</v>
      </c>
      <c r="H587">
        <v>1.29</v>
      </c>
      <c r="I587">
        <v>3288.21</v>
      </c>
      <c r="J587">
        <v>1.0900000000000001</v>
      </c>
      <c r="K587">
        <v>2778.41</v>
      </c>
      <c r="L587">
        <v>509.8</v>
      </c>
    </row>
    <row r="588" spans="1:12" x14ac:dyDescent="0.25">
      <c r="A588">
        <v>587</v>
      </c>
      <c r="B588" t="s">
        <v>316</v>
      </c>
      <c r="C588" t="s">
        <v>366</v>
      </c>
      <c r="D588" t="s">
        <v>369</v>
      </c>
      <c r="E588" t="s">
        <v>463</v>
      </c>
      <c r="F588" t="s">
        <v>487</v>
      </c>
      <c r="G588">
        <v>4258</v>
      </c>
      <c r="H588">
        <v>1.28</v>
      </c>
      <c r="I588">
        <v>5450.24</v>
      </c>
      <c r="J588">
        <v>1.05</v>
      </c>
      <c r="K588">
        <v>4470.8999999999996</v>
      </c>
      <c r="L588">
        <v>979.34</v>
      </c>
    </row>
    <row r="589" spans="1:12" x14ac:dyDescent="0.25">
      <c r="A589">
        <v>588</v>
      </c>
      <c r="B589" t="s">
        <v>189</v>
      </c>
      <c r="C589" t="s">
        <v>363</v>
      </c>
      <c r="D589" t="s">
        <v>369</v>
      </c>
      <c r="E589" t="s">
        <v>382</v>
      </c>
      <c r="F589" t="s">
        <v>486</v>
      </c>
      <c r="G589">
        <v>3634</v>
      </c>
      <c r="H589">
        <v>1.24</v>
      </c>
      <c r="I589">
        <v>4506.16</v>
      </c>
      <c r="J589">
        <v>1.05</v>
      </c>
      <c r="K589">
        <v>3815.7</v>
      </c>
      <c r="L589">
        <v>690.46</v>
      </c>
    </row>
    <row r="590" spans="1:12" x14ac:dyDescent="0.25">
      <c r="A590">
        <v>589</v>
      </c>
      <c r="B590" t="s">
        <v>13</v>
      </c>
      <c r="C590" t="s">
        <v>365</v>
      </c>
      <c r="D590" t="s">
        <v>368</v>
      </c>
      <c r="E590" t="s">
        <v>438</v>
      </c>
      <c r="F590" t="s">
        <v>475</v>
      </c>
      <c r="G590">
        <v>4731</v>
      </c>
      <c r="H590">
        <v>1.17</v>
      </c>
      <c r="I590">
        <v>5535.27</v>
      </c>
      <c r="J590">
        <v>0.91</v>
      </c>
      <c r="K590">
        <v>4305.21</v>
      </c>
      <c r="L590">
        <v>1230.06</v>
      </c>
    </row>
    <row r="591" spans="1:12" x14ac:dyDescent="0.25">
      <c r="A591">
        <v>590</v>
      </c>
      <c r="B591" t="s">
        <v>26</v>
      </c>
      <c r="C591" t="s">
        <v>365</v>
      </c>
      <c r="D591" t="s">
        <v>368</v>
      </c>
      <c r="E591" t="s">
        <v>437</v>
      </c>
      <c r="F591" t="s">
        <v>484</v>
      </c>
      <c r="G591">
        <v>3301</v>
      </c>
      <c r="H591">
        <v>0.85</v>
      </c>
      <c r="I591">
        <v>2805.85</v>
      </c>
      <c r="J591">
        <v>0.71</v>
      </c>
      <c r="K591">
        <v>2343.71</v>
      </c>
      <c r="L591">
        <v>462.14</v>
      </c>
    </row>
    <row r="592" spans="1:12" x14ac:dyDescent="0.25">
      <c r="A592">
        <v>591</v>
      </c>
      <c r="B592" t="s">
        <v>317</v>
      </c>
      <c r="C592" t="s">
        <v>365</v>
      </c>
      <c r="D592" t="s">
        <v>370</v>
      </c>
      <c r="E592" t="s">
        <v>381</v>
      </c>
      <c r="F592" t="s">
        <v>479</v>
      </c>
      <c r="G592">
        <v>2704</v>
      </c>
      <c r="H592">
        <v>0.93</v>
      </c>
      <c r="I592">
        <v>2514.7199999999998</v>
      </c>
      <c r="J592">
        <v>0.73</v>
      </c>
      <c r="K592">
        <v>1973.92</v>
      </c>
      <c r="L592">
        <v>540.79999999999995</v>
      </c>
    </row>
    <row r="593" spans="1:12" x14ac:dyDescent="0.25">
      <c r="A593">
        <v>592</v>
      </c>
      <c r="B593" t="s">
        <v>318</v>
      </c>
      <c r="C593" t="s">
        <v>366</v>
      </c>
      <c r="D593" t="s">
        <v>369</v>
      </c>
      <c r="E593" t="s">
        <v>388</v>
      </c>
      <c r="F593" t="s">
        <v>477</v>
      </c>
      <c r="G593">
        <v>2674</v>
      </c>
      <c r="H593">
        <v>0.94</v>
      </c>
      <c r="I593">
        <v>2513.56</v>
      </c>
      <c r="J593">
        <v>0.61</v>
      </c>
      <c r="K593">
        <v>1631.14</v>
      </c>
      <c r="L593">
        <v>882.42</v>
      </c>
    </row>
    <row r="594" spans="1:12" x14ac:dyDescent="0.25">
      <c r="A594">
        <v>593</v>
      </c>
      <c r="B594" t="s">
        <v>319</v>
      </c>
      <c r="C594" t="s">
        <v>366</v>
      </c>
      <c r="D594" t="s">
        <v>370</v>
      </c>
      <c r="E594" t="s">
        <v>427</v>
      </c>
      <c r="F594" t="s">
        <v>488</v>
      </c>
      <c r="G594">
        <v>1482</v>
      </c>
      <c r="H594">
        <v>1.44</v>
      </c>
      <c r="I594">
        <v>2134.08</v>
      </c>
      <c r="J594">
        <v>1.1100000000000001</v>
      </c>
      <c r="K594">
        <v>1645.02</v>
      </c>
      <c r="L594">
        <v>489.06</v>
      </c>
    </row>
    <row r="595" spans="1:12" x14ac:dyDescent="0.25">
      <c r="A595">
        <v>594</v>
      </c>
      <c r="B595" t="s">
        <v>307</v>
      </c>
      <c r="C595" t="s">
        <v>363</v>
      </c>
      <c r="D595" t="s">
        <v>369</v>
      </c>
      <c r="E595" t="s">
        <v>424</v>
      </c>
      <c r="F595" t="s">
        <v>476</v>
      </c>
      <c r="G595">
        <v>846</v>
      </c>
      <c r="H595">
        <v>1.39</v>
      </c>
      <c r="I595">
        <v>1175.94</v>
      </c>
      <c r="J595">
        <v>0.96</v>
      </c>
      <c r="K595">
        <v>812.16</v>
      </c>
      <c r="L595">
        <v>363.78</v>
      </c>
    </row>
    <row r="596" spans="1:12" x14ac:dyDescent="0.25">
      <c r="A596">
        <v>595</v>
      </c>
      <c r="B596" t="s">
        <v>44</v>
      </c>
      <c r="C596" t="s">
        <v>365</v>
      </c>
      <c r="D596" t="s">
        <v>369</v>
      </c>
      <c r="E596" t="s">
        <v>387</v>
      </c>
      <c r="F596" t="s">
        <v>480</v>
      </c>
      <c r="G596">
        <v>4687</v>
      </c>
      <c r="H596">
        <v>1</v>
      </c>
      <c r="I596">
        <v>4687</v>
      </c>
      <c r="J596">
        <v>0.66</v>
      </c>
      <c r="K596">
        <v>3093.42</v>
      </c>
      <c r="L596">
        <v>1593.58</v>
      </c>
    </row>
    <row r="597" spans="1:12" x14ac:dyDescent="0.25">
      <c r="A597">
        <v>596</v>
      </c>
      <c r="B597" t="s">
        <v>278</v>
      </c>
      <c r="C597" t="s">
        <v>363</v>
      </c>
      <c r="D597" t="s">
        <v>368</v>
      </c>
      <c r="E597" t="s">
        <v>442</v>
      </c>
      <c r="F597" t="s">
        <v>481</v>
      </c>
      <c r="G597">
        <v>4418</v>
      </c>
      <c r="H597">
        <v>1.46</v>
      </c>
      <c r="I597">
        <v>6450.28</v>
      </c>
      <c r="J597">
        <v>0.89</v>
      </c>
      <c r="K597">
        <v>3932.02</v>
      </c>
      <c r="L597">
        <v>2518.2600000000002</v>
      </c>
    </row>
    <row r="598" spans="1:12" x14ac:dyDescent="0.25">
      <c r="A598">
        <v>597</v>
      </c>
      <c r="B598" t="s">
        <v>320</v>
      </c>
      <c r="C598" t="s">
        <v>366</v>
      </c>
      <c r="D598" t="s">
        <v>369</v>
      </c>
      <c r="E598" t="s">
        <v>378</v>
      </c>
      <c r="F598" t="s">
        <v>488</v>
      </c>
      <c r="G598">
        <v>4745</v>
      </c>
      <c r="H598">
        <v>1.1200000000000001</v>
      </c>
      <c r="I598">
        <v>5314.4</v>
      </c>
      <c r="J598">
        <v>0.86</v>
      </c>
      <c r="K598">
        <v>4080.7</v>
      </c>
      <c r="L598">
        <v>1233.7</v>
      </c>
    </row>
    <row r="599" spans="1:12" x14ac:dyDescent="0.25">
      <c r="A599">
        <v>598</v>
      </c>
      <c r="B599" t="s">
        <v>267</v>
      </c>
      <c r="C599" t="s">
        <v>364</v>
      </c>
      <c r="D599" t="s">
        <v>368</v>
      </c>
      <c r="E599" t="s">
        <v>461</v>
      </c>
      <c r="F599" t="s">
        <v>488</v>
      </c>
      <c r="G599">
        <v>3165</v>
      </c>
      <c r="H599">
        <v>1.05</v>
      </c>
      <c r="I599">
        <v>3323.25</v>
      </c>
      <c r="J599">
        <v>0.86</v>
      </c>
      <c r="K599">
        <v>2721.9</v>
      </c>
      <c r="L599">
        <v>601.35</v>
      </c>
    </row>
    <row r="600" spans="1:12" x14ac:dyDescent="0.25">
      <c r="A600">
        <v>599</v>
      </c>
      <c r="B600" t="s">
        <v>181</v>
      </c>
      <c r="C600" t="s">
        <v>366</v>
      </c>
      <c r="D600" t="s">
        <v>370</v>
      </c>
      <c r="E600" t="s">
        <v>412</v>
      </c>
      <c r="F600" t="s">
        <v>483</v>
      </c>
      <c r="G600">
        <v>3310</v>
      </c>
      <c r="H600">
        <v>1.06</v>
      </c>
      <c r="I600">
        <v>3508.6</v>
      </c>
      <c r="J600">
        <v>0.77</v>
      </c>
      <c r="K600">
        <v>2548.6999999999998</v>
      </c>
      <c r="L600">
        <v>959.9</v>
      </c>
    </row>
    <row r="601" spans="1:12" x14ac:dyDescent="0.25">
      <c r="A601">
        <v>600</v>
      </c>
      <c r="B601" t="s">
        <v>321</v>
      </c>
      <c r="C601" t="s">
        <v>365</v>
      </c>
      <c r="D601" t="s">
        <v>369</v>
      </c>
      <c r="E601" t="s">
        <v>383</v>
      </c>
      <c r="F601" t="s">
        <v>484</v>
      </c>
      <c r="G601">
        <v>2790</v>
      </c>
      <c r="H601">
        <v>1.1200000000000001</v>
      </c>
      <c r="I601">
        <v>3124.8</v>
      </c>
      <c r="J601">
        <v>0.83</v>
      </c>
      <c r="K601">
        <v>2315.6999999999998</v>
      </c>
      <c r="L601">
        <v>809.1</v>
      </c>
    </row>
    <row r="602" spans="1:12" x14ac:dyDescent="0.25">
      <c r="A602">
        <v>601</v>
      </c>
      <c r="B602" t="s">
        <v>106</v>
      </c>
      <c r="C602" t="s">
        <v>363</v>
      </c>
      <c r="D602" t="s">
        <v>368</v>
      </c>
      <c r="E602" t="s">
        <v>451</v>
      </c>
      <c r="F602" t="s">
        <v>471</v>
      </c>
      <c r="G602">
        <v>2431</v>
      </c>
      <c r="H602">
        <v>1.19</v>
      </c>
      <c r="I602">
        <v>2892.89</v>
      </c>
      <c r="J602">
        <v>0.97</v>
      </c>
      <c r="K602">
        <v>2358.0700000000002</v>
      </c>
      <c r="L602">
        <v>534.82000000000005</v>
      </c>
    </row>
    <row r="603" spans="1:12" x14ac:dyDescent="0.25">
      <c r="A603">
        <v>602</v>
      </c>
      <c r="B603" t="s">
        <v>322</v>
      </c>
      <c r="C603" t="s">
        <v>366</v>
      </c>
      <c r="D603" t="s">
        <v>368</v>
      </c>
      <c r="E603" t="s">
        <v>393</v>
      </c>
      <c r="F603" t="s">
        <v>472</v>
      </c>
      <c r="G603">
        <v>1946</v>
      </c>
      <c r="H603">
        <v>1.1000000000000001</v>
      </c>
      <c r="I603">
        <v>2140.6</v>
      </c>
      <c r="J603">
        <v>0.7</v>
      </c>
      <c r="K603">
        <v>1362.2</v>
      </c>
      <c r="L603">
        <v>778.4</v>
      </c>
    </row>
    <row r="604" spans="1:12" x14ac:dyDescent="0.25">
      <c r="A604">
        <v>603</v>
      </c>
      <c r="B604" t="s">
        <v>323</v>
      </c>
      <c r="C604" t="s">
        <v>364</v>
      </c>
      <c r="D604" t="s">
        <v>370</v>
      </c>
      <c r="E604" t="s">
        <v>443</v>
      </c>
      <c r="F604" t="s">
        <v>471</v>
      </c>
      <c r="G604">
        <v>890</v>
      </c>
      <c r="H604">
        <v>1.08</v>
      </c>
      <c r="I604">
        <v>961.2</v>
      </c>
      <c r="J604">
        <v>0.83</v>
      </c>
      <c r="K604">
        <v>738.7</v>
      </c>
      <c r="L604">
        <v>222.5</v>
      </c>
    </row>
    <row r="605" spans="1:12" x14ac:dyDescent="0.25">
      <c r="A605">
        <v>604</v>
      </c>
      <c r="B605" t="s">
        <v>39</v>
      </c>
      <c r="C605" t="s">
        <v>365</v>
      </c>
      <c r="D605" t="s">
        <v>368</v>
      </c>
      <c r="E605" t="s">
        <v>393</v>
      </c>
      <c r="F605" t="s">
        <v>488</v>
      </c>
      <c r="G605">
        <v>4185</v>
      </c>
      <c r="H605">
        <v>1.32</v>
      </c>
      <c r="I605">
        <v>5524.2</v>
      </c>
      <c r="J605">
        <v>0.88</v>
      </c>
      <c r="K605">
        <v>3682.8</v>
      </c>
      <c r="L605">
        <v>1841.4</v>
      </c>
    </row>
    <row r="606" spans="1:12" x14ac:dyDescent="0.25">
      <c r="A606">
        <v>605</v>
      </c>
      <c r="B606" t="s">
        <v>284</v>
      </c>
      <c r="C606" t="s">
        <v>365</v>
      </c>
      <c r="D606" t="s">
        <v>370</v>
      </c>
      <c r="E606" t="s">
        <v>467</v>
      </c>
      <c r="F606" t="s">
        <v>481</v>
      </c>
      <c r="G606">
        <v>1493</v>
      </c>
      <c r="H606">
        <v>1.05</v>
      </c>
      <c r="I606">
        <v>1567.65</v>
      </c>
      <c r="J606">
        <v>0.81</v>
      </c>
      <c r="K606">
        <v>1209.33</v>
      </c>
      <c r="L606">
        <v>358.32</v>
      </c>
    </row>
    <row r="607" spans="1:12" x14ac:dyDescent="0.25">
      <c r="A607">
        <v>606</v>
      </c>
      <c r="B607" t="s">
        <v>324</v>
      </c>
      <c r="C607" t="s">
        <v>366</v>
      </c>
      <c r="D607" t="s">
        <v>368</v>
      </c>
      <c r="E607" t="s">
        <v>427</v>
      </c>
      <c r="F607" t="s">
        <v>482</v>
      </c>
      <c r="G607">
        <v>3409</v>
      </c>
      <c r="H607">
        <v>1.03</v>
      </c>
      <c r="I607">
        <v>3511.27</v>
      </c>
      <c r="J607">
        <v>0.75</v>
      </c>
      <c r="K607">
        <v>2556.75</v>
      </c>
      <c r="L607">
        <v>954.52</v>
      </c>
    </row>
    <row r="608" spans="1:12" x14ac:dyDescent="0.25">
      <c r="A608">
        <v>607</v>
      </c>
      <c r="B608" t="s">
        <v>176</v>
      </c>
      <c r="C608" t="s">
        <v>364</v>
      </c>
      <c r="D608" t="s">
        <v>367</v>
      </c>
      <c r="E608" t="s">
        <v>422</v>
      </c>
      <c r="F608" t="s">
        <v>482</v>
      </c>
      <c r="G608">
        <v>4299</v>
      </c>
      <c r="H608">
        <v>1.24</v>
      </c>
      <c r="I608">
        <v>5330.76</v>
      </c>
      <c r="J608">
        <v>0.79</v>
      </c>
      <c r="K608">
        <v>3396.21</v>
      </c>
      <c r="L608">
        <v>1934.55</v>
      </c>
    </row>
    <row r="609" spans="1:12" x14ac:dyDescent="0.25">
      <c r="A609">
        <v>608</v>
      </c>
      <c r="B609" t="s">
        <v>249</v>
      </c>
      <c r="C609" t="s">
        <v>364</v>
      </c>
      <c r="D609" t="s">
        <v>370</v>
      </c>
      <c r="E609" t="s">
        <v>384</v>
      </c>
      <c r="F609" t="s">
        <v>489</v>
      </c>
      <c r="G609">
        <v>3815</v>
      </c>
      <c r="H609">
        <v>1.39</v>
      </c>
      <c r="I609">
        <v>5302.85</v>
      </c>
      <c r="J609">
        <v>0.86</v>
      </c>
      <c r="K609">
        <v>3280.9</v>
      </c>
      <c r="L609">
        <v>2021.95</v>
      </c>
    </row>
    <row r="610" spans="1:12" x14ac:dyDescent="0.25">
      <c r="A610">
        <v>609</v>
      </c>
      <c r="B610" t="s">
        <v>27</v>
      </c>
      <c r="C610" t="s">
        <v>366</v>
      </c>
      <c r="D610" t="s">
        <v>370</v>
      </c>
      <c r="E610" t="s">
        <v>404</v>
      </c>
      <c r="F610" t="s">
        <v>487</v>
      </c>
      <c r="G610">
        <v>2886</v>
      </c>
      <c r="H610">
        <v>1.3</v>
      </c>
      <c r="I610">
        <v>3751.8</v>
      </c>
      <c r="J610">
        <v>0.98</v>
      </c>
      <c r="K610">
        <v>2828.28</v>
      </c>
      <c r="L610">
        <v>923.52</v>
      </c>
    </row>
    <row r="611" spans="1:12" x14ac:dyDescent="0.25">
      <c r="A611">
        <v>610</v>
      </c>
      <c r="B611" t="s">
        <v>325</v>
      </c>
      <c r="C611" t="s">
        <v>364</v>
      </c>
      <c r="D611" t="s">
        <v>370</v>
      </c>
      <c r="E611" t="s">
        <v>427</v>
      </c>
      <c r="F611" t="s">
        <v>475</v>
      </c>
      <c r="G611">
        <v>4767</v>
      </c>
      <c r="H611">
        <v>1.48</v>
      </c>
      <c r="I611">
        <v>7055.16</v>
      </c>
      <c r="J611">
        <v>1.04</v>
      </c>
      <c r="K611">
        <v>4957.68</v>
      </c>
      <c r="L611">
        <v>2097.48</v>
      </c>
    </row>
    <row r="612" spans="1:12" x14ac:dyDescent="0.25">
      <c r="A612">
        <v>611</v>
      </c>
      <c r="B612" t="s">
        <v>221</v>
      </c>
      <c r="C612" t="s">
        <v>366</v>
      </c>
      <c r="D612" t="s">
        <v>367</v>
      </c>
      <c r="E612" t="s">
        <v>469</v>
      </c>
      <c r="F612" t="s">
        <v>477</v>
      </c>
      <c r="G612">
        <v>2561</v>
      </c>
      <c r="H612">
        <v>1.46</v>
      </c>
      <c r="I612">
        <v>3739.06</v>
      </c>
      <c r="J612">
        <v>1.1299999999999999</v>
      </c>
      <c r="K612">
        <v>2893.93</v>
      </c>
      <c r="L612">
        <v>845.13</v>
      </c>
    </row>
    <row r="613" spans="1:12" x14ac:dyDescent="0.25">
      <c r="A613">
        <v>612</v>
      </c>
      <c r="B613" t="s">
        <v>175</v>
      </c>
      <c r="C613" t="s">
        <v>366</v>
      </c>
      <c r="D613" t="s">
        <v>368</v>
      </c>
      <c r="E613" t="s">
        <v>455</v>
      </c>
      <c r="F613" t="s">
        <v>488</v>
      </c>
      <c r="G613">
        <v>1282</v>
      </c>
      <c r="H613">
        <v>0.84</v>
      </c>
      <c r="I613">
        <v>1076.8800000000001</v>
      </c>
      <c r="J613">
        <v>0.69</v>
      </c>
      <c r="K613">
        <v>884.58</v>
      </c>
      <c r="L613">
        <v>192.3</v>
      </c>
    </row>
    <row r="614" spans="1:12" x14ac:dyDescent="0.25">
      <c r="A614">
        <v>613</v>
      </c>
      <c r="B614" t="s">
        <v>64</v>
      </c>
      <c r="C614" t="s">
        <v>363</v>
      </c>
      <c r="D614" t="s">
        <v>367</v>
      </c>
      <c r="E614" t="s">
        <v>380</v>
      </c>
      <c r="F614" t="s">
        <v>484</v>
      </c>
      <c r="G614">
        <v>4792</v>
      </c>
      <c r="H614">
        <v>1.34</v>
      </c>
      <c r="I614">
        <v>6421.28</v>
      </c>
      <c r="J614">
        <v>0.83</v>
      </c>
      <c r="K614">
        <v>3977.36</v>
      </c>
      <c r="L614">
        <v>2443.92</v>
      </c>
    </row>
    <row r="615" spans="1:12" x14ac:dyDescent="0.25">
      <c r="A615">
        <v>614</v>
      </c>
      <c r="B615" t="s">
        <v>26</v>
      </c>
      <c r="C615" t="s">
        <v>363</v>
      </c>
      <c r="D615" t="s">
        <v>368</v>
      </c>
      <c r="E615" t="s">
        <v>420</v>
      </c>
      <c r="F615" t="s">
        <v>484</v>
      </c>
      <c r="G615">
        <v>3034</v>
      </c>
      <c r="H615">
        <v>0.96</v>
      </c>
      <c r="I615">
        <v>2912.64</v>
      </c>
      <c r="J615">
        <v>0.75</v>
      </c>
      <c r="K615">
        <v>2275.5</v>
      </c>
      <c r="L615">
        <v>637.14</v>
      </c>
    </row>
    <row r="616" spans="1:12" x14ac:dyDescent="0.25">
      <c r="A616">
        <v>615</v>
      </c>
      <c r="B616" t="s">
        <v>326</v>
      </c>
      <c r="C616" t="s">
        <v>366</v>
      </c>
      <c r="D616" t="s">
        <v>368</v>
      </c>
      <c r="E616" t="s">
        <v>442</v>
      </c>
      <c r="F616" t="s">
        <v>480</v>
      </c>
      <c r="G616">
        <v>734</v>
      </c>
      <c r="H616">
        <v>0.82</v>
      </c>
      <c r="I616">
        <v>601.88</v>
      </c>
      <c r="J616">
        <v>0.56999999999999995</v>
      </c>
      <c r="K616">
        <v>418.38</v>
      </c>
      <c r="L616">
        <v>183.5</v>
      </c>
    </row>
    <row r="617" spans="1:12" x14ac:dyDescent="0.25">
      <c r="A617">
        <v>616</v>
      </c>
      <c r="B617" t="s">
        <v>88</v>
      </c>
      <c r="C617" t="s">
        <v>364</v>
      </c>
      <c r="D617" t="s">
        <v>369</v>
      </c>
      <c r="E617" t="s">
        <v>470</v>
      </c>
      <c r="F617" t="s">
        <v>471</v>
      </c>
      <c r="G617">
        <v>4993</v>
      </c>
      <c r="H617">
        <v>1.1100000000000001</v>
      </c>
      <c r="I617">
        <v>5542.23</v>
      </c>
      <c r="J617">
        <v>0.94</v>
      </c>
      <c r="K617">
        <v>4693.42</v>
      </c>
      <c r="L617">
        <v>848.81</v>
      </c>
    </row>
    <row r="618" spans="1:12" x14ac:dyDescent="0.25">
      <c r="A618">
        <v>617</v>
      </c>
      <c r="B618" t="s">
        <v>110</v>
      </c>
      <c r="C618" t="s">
        <v>364</v>
      </c>
      <c r="D618" t="s">
        <v>368</v>
      </c>
      <c r="E618" t="s">
        <v>384</v>
      </c>
      <c r="F618" t="s">
        <v>479</v>
      </c>
      <c r="G618">
        <v>4063</v>
      </c>
      <c r="H618">
        <v>1.17</v>
      </c>
      <c r="I618">
        <v>4753.71</v>
      </c>
      <c r="J618">
        <v>0.89</v>
      </c>
      <c r="K618">
        <v>3616.07</v>
      </c>
      <c r="L618">
        <v>1137.6400000000001</v>
      </c>
    </row>
    <row r="619" spans="1:12" x14ac:dyDescent="0.25">
      <c r="A619">
        <v>618</v>
      </c>
      <c r="B619" t="s">
        <v>144</v>
      </c>
      <c r="C619" t="s">
        <v>364</v>
      </c>
      <c r="D619" t="s">
        <v>370</v>
      </c>
      <c r="E619" t="s">
        <v>470</v>
      </c>
      <c r="F619" t="s">
        <v>477</v>
      </c>
      <c r="G619">
        <v>1233</v>
      </c>
      <c r="H619">
        <v>1.1100000000000001</v>
      </c>
      <c r="I619">
        <v>1368.63</v>
      </c>
      <c r="J619">
        <v>0.77</v>
      </c>
      <c r="K619">
        <v>949.41</v>
      </c>
      <c r="L619">
        <v>419.22</v>
      </c>
    </row>
    <row r="620" spans="1:12" x14ac:dyDescent="0.25">
      <c r="A620">
        <v>619</v>
      </c>
      <c r="B620" t="s">
        <v>59</v>
      </c>
      <c r="C620" t="s">
        <v>365</v>
      </c>
      <c r="D620" t="s">
        <v>368</v>
      </c>
      <c r="E620" t="s">
        <v>447</v>
      </c>
      <c r="F620" t="s">
        <v>472</v>
      </c>
      <c r="G620">
        <v>4787</v>
      </c>
      <c r="H620">
        <v>1.37</v>
      </c>
      <c r="I620">
        <v>6558.19</v>
      </c>
      <c r="J620">
        <v>1.1100000000000001</v>
      </c>
      <c r="K620">
        <v>5313.57</v>
      </c>
      <c r="L620">
        <v>1244.6199999999999</v>
      </c>
    </row>
    <row r="621" spans="1:12" x14ac:dyDescent="0.25">
      <c r="A621">
        <v>620</v>
      </c>
      <c r="B621" t="s">
        <v>192</v>
      </c>
      <c r="C621" t="s">
        <v>364</v>
      </c>
      <c r="D621" t="s">
        <v>370</v>
      </c>
      <c r="E621" t="s">
        <v>379</v>
      </c>
      <c r="F621" t="s">
        <v>472</v>
      </c>
      <c r="G621">
        <v>4529</v>
      </c>
      <c r="H621">
        <v>1.46</v>
      </c>
      <c r="I621">
        <v>6612.34</v>
      </c>
      <c r="J621">
        <v>1.05</v>
      </c>
      <c r="K621">
        <v>4755.45</v>
      </c>
      <c r="L621">
        <v>1856.89</v>
      </c>
    </row>
    <row r="622" spans="1:12" x14ac:dyDescent="0.25">
      <c r="A622">
        <v>621</v>
      </c>
      <c r="B622" t="s">
        <v>264</v>
      </c>
      <c r="C622" t="s">
        <v>365</v>
      </c>
      <c r="D622" t="s">
        <v>369</v>
      </c>
      <c r="E622" t="s">
        <v>448</v>
      </c>
      <c r="F622" t="s">
        <v>477</v>
      </c>
      <c r="G622">
        <v>559</v>
      </c>
      <c r="H622">
        <v>1.18</v>
      </c>
      <c r="I622">
        <v>659.62</v>
      </c>
      <c r="J622">
        <v>0.76</v>
      </c>
      <c r="K622">
        <v>424.84</v>
      </c>
      <c r="L622">
        <v>234.78</v>
      </c>
    </row>
    <row r="623" spans="1:12" x14ac:dyDescent="0.25">
      <c r="A623">
        <v>622</v>
      </c>
      <c r="B623" t="s">
        <v>216</v>
      </c>
      <c r="C623" t="s">
        <v>364</v>
      </c>
      <c r="D623" t="s">
        <v>369</v>
      </c>
      <c r="E623" t="s">
        <v>391</v>
      </c>
      <c r="F623" t="s">
        <v>480</v>
      </c>
      <c r="G623">
        <v>3692</v>
      </c>
      <c r="H623">
        <v>1.38</v>
      </c>
      <c r="I623">
        <v>5094.96</v>
      </c>
      <c r="J623">
        <v>0.9</v>
      </c>
      <c r="K623">
        <v>3322.8</v>
      </c>
      <c r="L623">
        <v>1772.16</v>
      </c>
    </row>
    <row r="624" spans="1:12" x14ac:dyDescent="0.25">
      <c r="A624">
        <v>623</v>
      </c>
      <c r="B624" t="s">
        <v>175</v>
      </c>
      <c r="C624" t="s">
        <v>366</v>
      </c>
      <c r="D624" t="s">
        <v>369</v>
      </c>
      <c r="E624" t="s">
        <v>430</v>
      </c>
      <c r="F624" t="s">
        <v>489</v>
      </c>
      <c r="G624">
        <v>2727</v>
      </c>
      <c r="H624">
        <v>1</v>
      </c>
      <c r="I624">
        <v>2727</v>
      </c>
      <c r="J624">
        <v>0.79</v>
      </c>
      <c r="K624">
        <v>2154.33</v>
      </c>
      <c r="L624">
        <v>572.66999999999996</v>
      </c>
    </row>
    <row r="625" spans="1:12" x14ac:dyDescent="0.25">
      <c r="A625">
        <v>624</v>
      </c>
      <c r="B625" t="s">
        <v>217</v>
      </c>
      <c r="C625" t="s">
        <v>366</v>
      </c>
      <c r="D625" t="s">
        <v>369</v>
      </c>
      <c r="E625" t="s">
        <v>458</v>
      </c>
      <c r="F625" t="s">
        <v>480</v>
      </c>
      <c r="G625">
        <v>1619</v>
      </c>
      <c r="H625">
        <v>1</v>
      </c>
      <c r="I625">
        <v>1619</v>
      </c>
      <c r="J625">
        <v>0.76</v>
      </c>
      <c r="K625">
        <v>1230.44</v>
      </c>
      <c r="L625">
        <v>388.56</v>
      </c>
    </row>
    <row r="626" spans="1:12" x14ac:dyDescent="0.25">
      <c r="A626">
        <v>625</v>
      </c>
      <c r="B626" t="s">
        <v>145</v>
      </c>
      <c r="C626" t="s">
        <v>365</v>
      </c>
      <c r="D626" t="s">
        <v>369</v>
      </c>
      <c r="E626" t="s">
        <v>429</v>
      </c>
      <c r="F626" t="s">
        <v>489</v>
      </c>
      <c r="G626">
        <v>4530</v>
      </c>
      <c r="H626">
        <v>0.93</v>
      </c>
      <c r="I626">
        <v>4212.8999999999996</v>
      </c>
      <c r="J626">
        <v>0.56000000000000005</v>
      </c>
      <c r="K626">
        <v>2536.8000000000002</v>
      </c>
      <c r="L626">
        <v>1676.1</v>
      </c>
    </row>
    <row r="627" spans="1:12" x14ac:dyDescent="0.25">
      <c r="A627">
        <v>626</v>
      </c>
      <c r="B627" t="s">
        <v>327</v>
      </c>
      <c r="C627" t="s">
        <v>366</v>
      </c>
      <c r="D627" t="s">
        <v>367</v>
      </c>
      <c r="E627" t="s">
        <v>450</v>
      </c>
      <c r="F627" t="s">
        <v>482</v>
      </c>
      <c r="G627">
        <v>2705</v>
      </c>
      <c r="H627">
        <v>0.89</v>
      </c>
      <c r="I627">
        <v>2407.4499999999998</v>
      </c>
      <c r="J627">
        <v>0.63</v>
      </c>
      <c r="K627">
        <v>1704.15</v>
      </c>
      <c r="L627">
        <v>703.3</v>
      </c>
    </row>
    <row r="628" spans="1:12" x14ac:dyDescent="0.25">
      <c r="A628">
        <v>627</v>
      </c>
      <c r="B628" t="s">
        <v>264</v>
      </c>
      <c r="C628" t="s">
        <v>363</v>
      </c>
      <c r="D628" t="s">
        <v>368</v>
      </c>
      <c r="E628" t="s">
        <v>399</v>
      </c>
      <c r="F628" t="s">
        <v>472</v>
      </c>
      <c r="G628">
        <v>4543</v>
      </c>
      <c r="H628">
        <v>0.95</v>
      </c>
      <c r="I628">
        <v>4315.8500000000004</v>
      </c>
      <c r="J628">
        <v>0.67</v>
      </c>
      <c r="K628">
        <v>3043.81</v>
      </c>
      <c r="L628">
        <v>1272.04</v>
      </c>
    </row>
    <row r="629" spans="1:12" x14ac:dyDescent="0.25">
      <c r="A629">
        <v>628</v>
      </c>
      <c r="B629" t="s">
        <v>109</v>
      </c>
      <c r="C629" t="s">
        <v>364</v>
      </c>
      <c r="D629" t="s">
        <v>370</v>
      </c>
      <c r="E629" t="s">
        <v>429</v>
      </c>
      <c r="F629" t="s">
        <v>478</v>
      </c>
      <c r="G629">
        <v>3205</v>
      </c>
      <c r="H629">
        <v>0.86</v>
      </c>
      <c r="I629">
        <v>2756.3</v>
      </c>
      <c r="J629">
        <v>0.68</v>
      </c>
      <c r="K629">
        <v>2179.4</v>
      </c>
      <c r="L629">
        <v>576.9</v>
      </c>
    </row>
    <row r="630" spans="1:12" x14ac:dyDescent="0.25">
      <c r="A630">
        <v>629</v>
      </c>
      <c r="B630" t="s">
        <v>219</v>
      </c>
      <c r="C630" t="s">
        <v>365</v>
      </c>
      <c r="D630" t="s">
        <v>367</v>
      </c>
      <c r="E630" t="s">
        <v>427</v>
      </c>
      <c r="F630" t="s">
        <v>484</v>
      </c>
      <c r="G630">
        <v>1084</v>
      </c>
      <c r="H630">
        <v>1.18</v>
      </c>
      <c r="I630">
        <v>1279.1199999999999</v>
      </c>
      <c r="J630">
        <v>0.76</v>
      </c>
      <c r="K630">
        <v>823.84</v>
      </c>
      <c r="L630">
        <v>455.28</v>
      </c>
    </row>
    <row r="631" spans="1:12" x14ac:dyDescent="0.25">
      <c r="A631">
        <v>630</v>
      </c>
      <c r="B631" t="s">
        <v>234</v>
      </c>
      <c r="C631" t="s">
        <v>363</v>
      </c>
      <c r="D631" t="s">
        <v>369</v>
      </c>
      <c r="E631" t="s">
        <v>459</v>
      </c>
      <c r="F631" t="s">
        <v>477</v>
      </c>
      <c r="G631">
        <v>3652</v>
      </c>
      <c r="H631">
        <v>1.34</v>
      </c>
      <c r="I631">
        <v>4893.68</v>
      </c>
      <c r="J631">
        <v>0.95</v>
      </c>
      <c r="K631">
        <v>3469.4</v>
      </c>
      <c r="L631">
        <v>1424.28</v>
      </c>
    </row>
    <row r="632" spans="1:12" x14ac:dyDescent="0.25">
      <c r="A632">
        <v>631</v>
      </c>
      <c r="B632" t="s">
        <v>213</v>
      </c>
      <c r="C632" t="s">
        <v>364</v>
      </c>
      <c r="D632" t="s">
        <v>368</v>
      </c>
      <c r="E632" t="s">
        <v>371</v>
      </c>
      <c r="F632" t="s">
        <v>488</v>
      </c>
      <c r="G632">
        <v>4769</v>
      </c>
      <c r="H632">
        <v>1.27</v>
      </c>
      <c r="I632">
        <v>6056.63</v>
      </c>
      <c r="J632">
        <v>0.83</v>
      </c>
      <c r="K632">
        <v>3958.27</v>
      </c>
      <c r="L632">
        <v>2098.36</v>
      </c>
    </row>
    <row r="633" spans="1:12" x14ac:dyDescent="0.25">
      <c r="A633">
        <v>632</v>
      </c>
      <c r="B633" t="s">
        <v>232</v>
      </c>
      <c r="C633" t="s">
        <v>365</v>
      </c>
      <c r="D633" t="s">
        <v>370</v>
      </c>
      <c r="E633" t="s">
        <v>406</v>
      </c>
      <c r="F633" t="s">
        <v>478</v>
      </c>
      <c r="G633">
        <v>4767</v>
      </c>
      <c r="H633">
        <v>0.89</v>
      </c>
      <c r="I633">
        <v>4242.63</v>
      </c>
      <c r="J633">
        <v>0.64</v>
      </c>
      <c r="K633">
        <v>3050.88</v>
      </c>
      <c r="L633">
        <v>1191.75</v>
      </c>
    </row>
    <row r="634" spans="1:12" x14ac:dyDescent="0.25">
      <c r="A634">
        <v>633</v>
      </c>
      <c r="B634" t="s">
        <v>76</v>
      </c>
      <c r="C634" t="s">
        <v>365</v>
      </c>
      <c r="D634" t="s">
        <v>368</v>
      </c>
      <c r="E634" t="s">
        <v>456</v>
      </c>
      <c r="F634" t="s">
        <v>485</v>
      </c>
      <c r="G634">
        <v>1425</v>
      </c>
      <c r="H634">
        <v>0.97</v>
      </c>
      <c r="I634">
        <v>1382.25</v>
      </c>
      <c r="J634">
        <v>0.69</v>
      </c>
      <c r="K634">
        <v>983.25</v>
      </c>
      <c r="L634">
        <v>399</v>
      </c>
    </row>
    <row r="635" spans="1:12" x14ac:dyDescent="0.25">
      <c r="A635">
        <v>634</v>
      </c>
      <c r="B635" t="s">
        <v>38</v>
      </c>
      <c r="C635" t="s">
        <v>365</v>
      </c>
      <c r="D635" t="s">
        <v>368</v>
      </c>
      <c r="E635" t="s">
        <v>461</v>
      </c>
      <c r="F635" t="s">
        <v>488</v>
      </c>
      <c r="G635">
        <v>3742</v>
      </c>
      <c r="H635">
        <v>1.35</v>
      </c>
      <c r="I635">
        <v>5051.7</v>
      </c>
      <c r="J635">
        <v>0.81</v>
      </c>
      <c r="K635">
        <v>3031.02</v>
      </c>
      <c r="L635">
        <v>2020.68</v>
      </c>
    </row>
    <row r="636" spans="1:12" x14ac:dyDescent="0.25">
      <c r="A636">
        <v>635</v>
      </c>
      <c r="B636" t="s">
        <v>85</v>
      </c>
      <c r="C636" t="s">
        <v>366</v>
      </c>
      <c r="D636" t="s">
        <v>369</v>
      </c>
      <c r="E636" t="s">
        <v>466</v>
      </c>
      <c r="F636" t="s">
        <v>486</v>
      </c>
      <c r="G636">
        <v>2537</v>
      </c>
      <c r="H636">
        <v>0.91</v>
      </c>
      <c r="I636">
        <v>2308.67</v>
      </c>
      <c r="J636">
        <v>0.56999999999999995</v>
      </c>
      <c r="K636">
        <v>1446.09</v>
      </c>
      <c r="L636">
        <v>862.58</v>
      </c>
    </row>
    <row r="637" spans="1:12" x14ac:dyDescent="0.25">
      <c r="A637">
        <v>636</v>
      </c>
      <c r="B637" t="s">
        <v>145</v>
      </c>
      <c r="C637" t="s">
        <v>363</v>
      </c>
      <c r="D637" t="s">
        <v>370</v>
      </c>
      <c r="E637" t="s">
        <v>400</v>
      </c>
      <c r="F637" t="s">
        <v>475</v>
      </c>
      <c r="G637">
        <v>1760</v>
      </c>
      <c r="H637">
        <v>1.29</v>
      </c>
      <c r="I637">
        <v>2270.4</v>
      </c>
      <c r="J637">
        <v>1.03</v>
      </c>
      <c r="K637">
        <v>1812.8</v>
      </c>
      <c r="L637">
        <v>457.6</v>
      </c>
    </row>
    <row r="638" spans="1:12" x14ac:dyDescent="0.25">
      <c r="A638">
        <v>637</v>
      </c>
      <c r="B638" t="s">
        <v>135</v>
      </c>
      <c r="C638" t="s">
        <v>366</v>
      </c>
      <c r="D638" t="s">
        <v>369</v>
      </c>
      <c r="E638" t="s">
        <v>404</v>
      </c>
      <c r="F638" t="s">
        <v>476</v>
      </c>
      <c r="G638">
        <v>3345</v>
      </c>
      <c r="H638">
        <v>1.36</v>
      </c>
      <c r="I638">
        <v>4549.2</v>
      </c>
      <c r="J638">
        <v>0.97</v>
      </c>
      <c r="K638">
        <v>3244.65</v>
      </c>
      <c r="L638">
        <v>1304.55</v>
      </c>
    </row>
    <row r="639" spans="1:12" x14ac:dyDescent="0.25">
      <c r="A639">
        <v>638</v>
      </c>
      <c r="B639" t="s">
        <v>93</v>
      </c>
      <c r="C639" t="s">
        <v>364</v>
      </c>
      <c r="D639" t="s">
        <v>367</v>
      </c>
      <c r="E639" t="s">
        <v>375</v>
      </c>
      <c r="F639" t="s">
        <v>474</v>
      </c>
      <c r="G639">
        <v>2553</v>
      </c>
      <c r="H639">
        <v>1.43</v>
      </c>
      <c r="I639">
        <v>3650.79</v>
      </c>
      <c r="J639">
        <v>1.03</v>
      </c>
      <c r="K639">
        <v>2629.59</v>
      </c>
      <c r="L639">
        <v>1021.2</v>
      </c>
    </row>
    <row r="640" spans="1:12" x14ac:dyDescent="0.25">
      <c r="A640">
        <v>639</v>
      </c>
      <c r="B640" t="s">
        <v>31</v>
      </c>
      <c r="C640" t="s">
        <v>364</v>
      </c>
      <c r="D640" t="s">
        <v>370</v>
      </c>
      <c r="E640" t="s">
        <v>395</v>
      </c>
      <c r="F640" t="s">
        <v>479</v>
      </c>
      <c r="G640">
        <v>2028</v>
      </c>
      <c r="H640">
        <v>1.18</v>
      </c>
      <c r="I640">
        <v>2393.04</v>
      </c>
      <c r="J640">
        <v>0.8</v>
      </c>
      <c r="K640">
        <v>1622.4</v>
      </c>
      <c r="L640">
        <v>770.64</v>
      </c>
    </row>
    <row r="641" spans="1:12" x14ac:dyDescent="0.25">
      <c r="A641">
        <v>640</v>
      </c>
      <c r="B641" t="s">
        <v>328</v>
      </c>
      <c r="C641" t="s">
        <v>366</v>
      </c>
      <c r="D641" t="s">
        <v>370</v>
      </c>
      <c r="E641" t="s">
        <v>458</v>
      </c>
      <c r="F641" t="s">
        <v>490</v>
      </c>
      <c r="G641">
        <v>1769</v>
      </c>
      <c r="H641">
        <v>1.1100000000000001</v>
      </c>
      <c r="I641">
        <v>1963.59</v>
      </c>
      <c r="J641">
        <v>0.89</v>
      </c>
      <c r="K641">
        <v>1574.41</v>
      </c>
      <c r="L641">
        <v>389.18</v>
      </c>
    </row>
    <row r="642" spans="1:12" x14ac:dyDescent="0.25">
      <c r="A642">
        <v>641</v>
      </c>
      <c r="B642" t="s">
        <v>41</v>
      </c>
      <c r="C642" t="s">
        <v>364</v>
      </c>
      <c r="D642" t="s">
        <v>370</v>
      </c>
      <c r="E642" t="s">
        <v>398</v>
      </c>
      <c r="F642" t="s">
        <v>490</v>
      </c>
      <c r="G642">
        <v>3605</v>
      </c>
      <c r="H642">
        <v>1.31</v>
      </c>
      <c r="I642">
        <v>4722.55</v>
      </c>
      <c r="J642">
        <v>1.08</v>
      </c>
      <c r="K642">
        <v>3893.4</v>
      </c>
      <c r="L642">
        <v>829.15</v>
      </c>
    </row>
    <row r="643" spans="1:12" x14ac:dyDescent="0.25">
      <c r="A643">
        <v>642</v>
      </c>
      <c r="B643" t="s">
        <v>130</v>
      </c>
      <c r="C643" t="s">
        <v>366</v>
      </c>
      <c r="D643" t="s">
        <v>370</v>
      </c>
      <c r="E643" t="s">
        <v>441</v>
      </c>
      <c r="F643" t="s">
        <v>486</v>
      </c>
      <c r="G643">
        <v>4915</v>
      </c>
      <c r="H643">
        <v>1.37</v>
      </c>
      <c r="I643">
        <v>6733.55</v>
      </c>
      <c r="J643">
        <v>0.89</v>
      </c>
      <c r="K643">
        <v>4374.3500000000004</v>
      </c>
      <c r="L643">
        <v>2359.1999999999998</v>
      </c>
    </row>
    <row r="644" spans="1:12" x14ac:dyDescent="0.25">
      <c r="A644">
        <v>643</v>
      </c>
      <c r="B644" t="s">
        <v>329</v>
      </c>
      <c r="C644" t="s">
        <v>366</v>
      </c>
      <c r="D644" t="s">
        <v>369</v>
      </c>
      <c r="E644" t="s">
        <v>422</v>
      </c>
      <c r="F644" t="s">
        <v>482</v>
      </c>
      <c r="G644">
        <v>3142</v>
      </c>
      <c r="H644">
        <v>1.0900000000000001</v>
      </c>
      <c r="I644">
        <v>3424.78</v>
      </c>
      <c r="J644">
        <v>0.74</v>
      </c>
      <c r="K644">
        <v>2325.08</v>
      </c>
      <c r="L644">
        <v>1099.7</v>
      </c>
    </row>
    <row r="645" spans="1:12" x14ac:dyDescent="0.25">
      <c r="A645">
        <v>644</v>
      </c>
      <c r="B645" t="s">
        <v>281</v>
      </c>
      <c r="C645" t="s">
        <v>363</v>
      </c>
      <c r="D645" t="s">
        <v>367</v>
      </c>
      <c r="E645" t="s">
        <v>410</v>
      </c>
      <c r="F645" t="s">
        <v>480</v>
      </c>
      <c r="G645">
        <v>756</v>
      </c>
      <c r="H645">
        <v>0.94</v>
      </c>
      <c r="I645">
        <v>710.64</v>
      </c>
      <c r="J645">
        <v>0.68</v>
      </c>
      <c r="K645">
        <v>514.08000000000004</v>
      </c>
      <c r="L645">
        <v>196.56</v>
      </c>
    </row>
    <row r="646" spans="1:12" x14ac:dyDescent="0.25">
      <c r="A646">
        <v>645</v>
      </c>
      <c r="B646" t="s">
        <v>330</v>
      </c>
      <c r="C646" t="s">
        <v>364</v>
      </c>
      <c r="D646" t="s">
        <v>367</v>
      </c>
      <c r="E646" t="s">
        <v>389</v>
      </c>
      <c r="F646" t="s">
        <v>483</v>
      </c>
      <c r="G646">
        <v>4807</v>
      </c>
      <c r="H646">
        <v>1.24</v>
      </c>
      <c r="I646">
        <v>5960.68</v>
      </c>
      <c r="J646">
        <v>0.93</v>
      </c>
      <c r="K646">
        <v>4470.51</v>
      </c>
      <c r="L646">
        <v>1490.17</v>
      </c>
    </row>
    <row r="647" spans="1:12" x14ac:dyDescent="0.25">
      <c r="A647">
        <v>646</v>
      </c>
      <c r="B647" t="s">
        <v>327</v>
      </c>
      <c r="C647" t="s">
        <v>366</v>
      </c>
      <c r="D647" t="s">
        <v>370</v>
      </c>
      <c r="E647" t="s">
        <v>444</v>
      </c>
      <c r="F647" t="s">
        <v>486</v>
      </c>
      <c r="G647">
        <v>607</v>
      </c>
      <c r="H647">
        <v>1.45</v>
      </c>
      <c r="I647">
        <v>880.15</v>
      </c>
      <c r="J647">
        <v>0.95</v>
      </c>
      <c r="K647">
        <v>576.65</v>
      </c>
      <c r="L647">
        <v>303.5</v>
      </c>
    </row>
    <row r="648" spans="1:12" x14ac:dyDescent="0.25">
      <c r="A648">
        <v>647</v>
      </c>
      <c r="B648" t="s">
        <v>96</v>
      </c>
      <c r="C648" t="s">
        <v>364</v>
      </c>
      <c r="D648" t="s">
        <v>367</v>
      </c>
      <c r="E648" t="s">
        <v>436</v>
      </c>
      <c r="F648" t="s">
        <v>478</v>
      </c>
      <c r="G648">
        <v>3456</v>
      </c>
      <c r="H648">
        <v>1.19</v>
      </c>
      <c r="I648">
        <v>4112.6400000000003</v>
      </c>
      <c r="J648">
        <v>0.99</v>
      </c>
      <c r="K648">
        <v>3421.44</v>
      </c>
      <c r="L648">
        <v>691.2</v>
      </c>
    </row>
    <row r="649" spans="1:12" x14ac:dyDescent="0.25">
      <c r="A649">
        <v>648</v>
      </c>
      <c r="B649" t="s">
        <v>141</v>
      </c>
      <c r="C649" t="s">
        <v>363</v>
      </c>
      <c r="D649" t="s">
        <v>370</v>
      </c>
      <c r="E649" t="s">
        <v>422</v>
      </c>
      <c r="F649" t="s">
        <v>471</v>
      </c>
      <c r="G649">
        <v>4833</v>
      </c>
      <c r="H649">
        <v>0.83</v>
      </c>
      <c r="I649">
        <v>4011.39</v>
      </c>
      <c r="J649">
        <v>0.51</v>
      </c>
      <c r="K649">
        <v>2464.83</v>
      </c>
      <c r="L649">
        <v>1546.56</v>
      </c>
    </row>
    <row r="650" spans="1:12" x14ac:dyDescent="0.25">
      <c r="A650">
        <v>649</v>
      </c>
      <c r="B650" t="s">
        <v>104</v>
      </c>
      <c r="C650" t="s">
        <v>366</v>
      </c>
      <c r="D650" t="s">
        <v>367</v>
      </c>
      <c r="E650" t="s">
        <v>430</v>
      </c>
      <c r="F650" t="s">
        <v>488</v>
      </c>
      <c r="G650">
        <v>1329</v>
      </c>
      <c r="H650">
        <v>1.31</v>
      </c>
      <c r="I650">
        <v>1740.99</v>
      </c>
      <c r="J650">
        <v>0.96</v>
      </c>
      <c r="K650">
        <v>1275.8399999999999</v>
      </c>
      <c r="L650">
        <v>465.15</v>
      </c>
    </row>
    <row r="651" spans="1:12" x14ac:dyDescent="0.25">
      <c r="A651">
        <v>650</v>
      </c>
      <c r="B651" t="s">
        <v>318</v>
      </c>
      <c r="C651" t="s">
        <v>366</v>
      </c>
      <c r="D651" t="s">
        <v>368</v>
      </c>
      <c r="E651" t="s">
        <v>433</v>
      </c>
      <c r="F651" t="s">
        <v>480</v>
      </c>
      <c r="G651">
        <v>3901</v>
      </c>
      <c r="H651">
        <v>1.32</v>
      </c>
      <c r="I651">
        <v>5149.32</v>
      </c>
      <c r="J651">
        <v>1.04</v>
      </c>
      <c r="K651">
        <v>4057.04</v>
      </c>
      <c r="L651">
        <v>1092.28</v>
      </c>
    </row>
    <row r="652" spans="1:12" x14ac:dyDescent="0.25">
      <c r="A652">
        <v>651</v>
      </c>
      <c r="B652" t="s">
        <v>278</v>
      </c>
      <c r="C652" t="s">
        <v>364</v>
      </c>
      <c r="D652" t="s">
        <v>370</v>
      </c>
      <c r="E652" t="s">
        <v>429</v>
      </c>
      <c r="F652" t="s">
        <v>481</v>
      </c>
      <c r="G652">
        <v>1352</v>
      </c>
      <c r="H652">
        <v>0.92</v>
      </c>
      <c r="I652">
        <v>1243.8399999999999</v>
      </c>
      <c r="J652">
        <v>0.59</v>
      </c>
      <c r="K652">
        <v>797.68</v>
      </c>
      <c r="L652">
        <v>446.16</v>
      </c>
    </row>
    <row r="653" spans="1:12" x14ac:dyDescent="0.25">
      <c r="A653">
        <v>652</v>
      </c>
      <c r="B653" t="s">
        <v>21</v>
      </c>
      <c r="C653" t="s">
        <v>366</v>
      </c>
      <c r="D653" t="s">
        <v>370</v>
      </c>
      <c r="E653" t="s">
        <v>379</v>
      </c>
      <c r="F653" t="s">
        <v>489</v>
      </c>
      <c r="G653">
        <v>4129</v>
      </c>
      <c r="H653">
        <v>1.45</v>
      </c>
      <c r="I653">
        <v>5987.05</v>
      </c>
      <c r="J653">
        <v>1.2</v>
      </c>
      <c r="K653">
        <v>4954.8</v>
      </c>
      <c r="L653">
        <v>1032.25</v>
      </c>
    </row>
    <row r="654" spans="1:12" x14ac:dyDescent="0.25">
      <c r="A654">
        <v>653</v>
      </c>
      <c r="B654" t="s">
        <v>107</v>
      </c>
      <c r="C654" t="s">
        <v>365</v>
      </c>
      <c r="D654" t="s">
        <v>370</v>
      </c>
      <c r="E654" t="s">
        <v>438</v>
      </c>
      <c r="F654" t="s">
        <v>481</v>
      </c>
      <c r="G654">
        <v>3149</v>
      </c>
      <c r="H654">
        <v>1.23</v>
      </c>
      <c r="I654">
        <v>3873.27</v>
      </c>
      <c r="J654">
        <v>0.91</v>
      </c>
      <c r="K654">
        <v>2865.59</v>
      </c>
      <c r="L654">
        <v>1007.68</v>
      </c>
    </row>
    <row r="655" spans="1:12" x14ac:dyDescent="0.25">
      <c r="A655">
        <v>654</v>
      </c>
      <c r="B655" t="s">
        <v>182</v>
      </c>
      <c r="C655" t="s">
        <v>365</v>
      </c>
      <c r="D655" t="s">
        <v>369</v>
      </c>
      <c r="E655" t="s">
        <v>383</v>
      </c>
      <c r="F655" t="s">
        <v>473</v>
      </c>
      <c r="G655">
        <v>4165</v>
      </c>
      <c r="H655">
        <v>1.47</v>
      </c>
      <c r="I655">
        <v>6122.55</v>
      </c>
      <c r="J655">
        <v>0.88</v>
      </c>
      <c r="K655">
        <v>3665.2</v>
      </c>
      <c r="L655">
        <v>2457.35</v>
      </c>
    </row>
    <row r="656" spans="1:12" x14ac:dyDescent="0.25">
      <c r="A656">
        <v>655</v>
      </c>
      <c r="B656" t="s">
        <v>213</v>
      </c>
      <c r="C656" t="s">
        <v>363</v>
      </c>
      <c r="D656" t="s">
        <v>370</v>
      </c>
      <c r="E656" t="s">
        <v>430</v>
      </c>
      <c r="F656" t="s">
        <v>474</v>
      </c>
      <c r="G656">
        <v>2972</v>
      </c>
      <c r="H656">
        <v>0.8</v>
      </c>
      <c r="I656">
        <v>2377.6</v>
      </c>
      <c r="J656">
        <v>0.68</v>
      </c>
      <c r="K656">
        <v>2020.96</v>
      </c>
      <c r="L656">
        <v>356.64</v>
      </c>
    </row>
    <row r="657" spans="1:12" x14ac:dyDescent="0.25">
      <c r="A657">
        <v>656</v>
      </c>
      <c r="B657" t="s">
        <v>182</v>
      </c>
      <c r="C657" t="s">
        <v>363</v>
      </c>
      <c r="D657" t="s">
        <v>370</v>
      </c>
      <c r="E657" t="s">
        <v>380</v>
      </c>
      <c r="F657" t="s">
        <v>471</v>
      </c>
      <c r="G657">
        <v>4688</v>
      </c>
      <c r="H657">
        <v>1.19</v>
      </c>
      <c r="I657">
        <v>5578.72</v>
      </c>
      <c r="J657">
        <v>0.99</v>
      </c>
      <c r="K657">
        <v>4641.12</v>
      </c>
      <c r="L657">
        <v>937.6</v>
      </c>
    </row>
    <row r="658" spans="1:12" x14ac:dyDescent="0.25">
      <c r="A658">
        <v>657</v>
      </c>
      <c r="B658" t="s">
        <v>132</v>
      </c>
      <c r="C658" t="s">
        <v>363</v>
      </c>
      <c r="D658" t="s">
        <v>367</v>
      </c>
      <c r="E658" t="s">
        <v>378</v>
      </c>
      <c r="F658" t="s">
        <v>475</v>
      </c>
      <c r="G658">
        <v>1778</v>
      </c>
      <c r="H658">
        <v>0.9</v>
      </c>
      <c r="I658">
        <v>1600.2</v>
      </c>
      <c r="J658">
        <v>0.62</v>
      </c>
      <c r="K658">
        <v>1102.3599999999999</v>
      </c>
      <c r="L658">
        <v>497.84</v>
      </c>
    </row>
    <row r="659" spans="1:12" x14ac:dyDescent="0.25">
      <c r="A659">
        <v>658</v>
      </c>
      <c r="B659" t="s">
        <v>52</v>
      </c>
      <c r="C659" t="s">
        <v>366</v>
      </c>
      <c r="D659" t="s">
        <v>368</v>
      </c>
      <c r="E659" t="s">
        <v>408</v>
      </c>
      <c r="F659" t="s">
        <v>482</v>
      </c>
      <c r="G659">
        <v>1252</v>
      </c>
      <c r="H659">
        <v>1.2</v>
      </c>
      <c r="I659">
        <v>1502.4</v>
      </c>
      <c r="J659">
        <v>0.89</v>
      </c>
      <c r="K659">
        <v>1114.28</v>
      </c>
      <c r="L659">
        <v>388.12</v>
      </c>
    </row>
    <row r="660" spans="1:12" x14ac:dyDescent="0.25">
      <c r="A660">
        <v>659</v>
      </c>
      <c r="B660" t="s">
        <v>331</v>
      </c>
      <c r="C660" t="s">
        <v>365</v>
      </c>
      <c r="D660" t="s">
        <v>367</v>
      </c>
      <c r="E660" t="s">
        <v>468</v>
      </c>
      <c r="F660" t="s">
        <v>480</v>
      </c>
      <c r="G660">
        <v>4499</v>
      </c>
      <c r="H660">
        <v>1.38</v>
      </c>
      <c r="I660">
        <v>6208.62</v>
      </c>
      <c r="J660">
        <v>1.07</v>
      </c>
      <c r="K660">
        <v>4813.93</v>
      </c>
      <c r="L660">
        <v>1394.69</v>
      </c>
    </row>
    <row r="661" spans="1:12" x14ac:dyDescent="0.25">
      <c r="A661">
        <v>660</v>
      </c>
      <c r="B661" t="s">
        <v>278</v>
      </c>
      <c r="C661" t="s">
        <v>365</v>
      </c>
      <c r="D661" t="s">
        <v>367</v>
      </c>
      <c r="E661" t="s">
        <v>372</v>
      </c>
      <c r="F661" t="s">
        <v>479</v>
      </c>
      <c r="G661">
        <v>3625</v>
      </c>
      <c r="H661">
        <v>0.85</v>
      </c>
      <c r="I661">
        <v>3081.25</v>
      </c>
      <c r="J661">
        <v>0.52</v>
      </c>
      <c r="K661">
        <v>1885</v>
      </c>
      <c r="L661">
        <v>1196.25</v>
      </c>
    </row>
    <row r="662" spans="1:12" x14ac:dyDescent="0.25">
      <c r="A662">
        <v>661</v>
      </c>
      <c r="B662" t="s">
        <v>332</v>
      </c>
      <c r="C662" t="s">
        <v>364</v>
      </c>
      <c r="D662" t="s">
        <v>370</v>
      </c>
      <c r="E662" t="s">
        <v>419</v>
      </c>
      <c r="F662" t="s">
        <v>488</v>
      </c>
      <c r="G662">
        <v>2357</v>
      </c>
      <c r="H662">
        <v>1.32</v>
      </c>
      <c r="I662">
        <v>3111.24</v>
      </c>
      <c r="J662">
        <v>1.07</v>
      </c>
      <c r="K662">
        <v>2521.9899999999998</v>
      </c>
      <c r="L662">
        <v>589.25</v>
      </c>
    </row>
    <row r="663" spans="1:12" x14ac:dyDescent="0.25">
      <c r="A663">
        <v>662</v>
      </c>
      <c r="B663" t="s">
        <v>208</v>
      </c>
      <c r="C663" t="s">
        <v>363</v>
      </c>
      <c r="D663" t="s">
        <v>369</v>
      </c>
      <c r="E663" t="s">
        <v>428</v>
      </c>
      <c r="F663" t="s">
        <v>490</v>
      </c>
      <c r="G663">
        <v>837</v>
      </c>
      <c r="H663">
        <v>1.02</v>
      </c>
      <c r="I663">
        <v>853.74</v>
      </c>
      <c r="J663">
        <v>0.76</v>
      </c>
      <c r="K663">
        <v>636.12</v>
      </c>
      <c r="L663">
        <v>217.62</v>
      </c>
    </row>
    <row r="664" spans="1:12" x14ac:dyDescent="0.25">
      <c r="A664">
        <v>663</v>
      </c>
      <c r="B664" t="s">
        <v>196</v>
      </c>
      <c r="C664" t="s">
        <v>366</v>
      </c>
      <c r="D664" t="s">
        <v>368</v>
      </c>
      <c r="E664" t="s">
        <v>456</v>
      </c>
      <c r="F664" t="s">
        <v>484</v>
      </c>
      <c r="G664">
        <v>4150</v>
      </c>
      <c r="H664">
        <v>1.33</v>
      </c>
      <c r="I664">
        <v>5519.5</v>
      </c>
      <c r="J664">
        <v>0.99</v>
      </c>
      <c r="K664">
        <v>4108.5</v>
      </c>
      <c r="L664">
        <v>1411</v>
      </c>
    </row>
    <row r="665" spans="1:12" x14ac:dyDescent="0.25">
      <c r="A665">
        <v>664</v>
      </c>
      <c r="B665" t="s">
        <v>280</v>
      </c>
      <c r="C665" t="s">
        <v>364</v>
      </c>
      <c r="D665" t="s">
        <v>368</v>
      </c>
      <c r="E665" t="s">
        <v>386</v>
      </c>
      <c r="F665" t="s">
        <v>484</v>
      </c>
      <c r="G665">
        <v>1712</v>
      </c>
      <c r="H665">
        <v>0.89</v>
      </c>
      <c r="I665">
        <v>1523.68</v>
      </c>
      <c r="J665">
        <v>0.55000000000000004</v>
      </c>
      <c r="K665">
        <v>941.6</v>
      </c>
      <c r="L665">
        <v>582.08000000000004</v>
      </c>
    </row>
    <row r="666" spans="1:12" x14ac:dyDescent="0.25">
      <c r="A666">
        <v>665</v>
      </c>
      <c r="B666" t="s">
        <v>34</v>
      </c>
      <c r="C666" t="s">
        <v>364</v>
      </c>
      <c r="D666" t="s">
        <v>367</v>
      </c>
      <c r="E666" t="s">
        <v>382</v>
      </c>
      <c r="F666" t="s">
        <v>486</v>
      </c>
      <c r="G666">
        <v>3764</v>
      </c>
      <c r="H666">
        <v>1.1499999999999999</v>
      </c>
      <c r="I666">
        <v>4328.6000000000004</v>
      </c>
      <c r="J666">
        <v>0.91</v>
      </c>
      <c r="K666">
        <v>3425.24</v>
      </c>
      <c r="L666">
        <v>903.36</v>
      </c>
    </row>
    <row r="667" spans="1:12" x14ac:dyDescent="0.25">
      <c r="A667">
        <v>666</v>
      </c>
      <c r="B667" t="s">
        <v>137</v>
      </c>
      <c r="C667" t="s">
        <v>364</v>
      </c>
      <c r="D667" t="s">
        <v>368</v>
      </c>
      <c r="E667" t="s">
        <v>421</v>
      </c>
      <c r="F667" t="s">
        <v>485</v>
      </c>
      <c r="G667">
        <v>4496</v>
      </c>
      <c r="H667">
        <v>1.08</v>
      </c>
      <c r="I667">
        <v>4855.68</v>
      </c>
      <c r="J667">
        <v>0.8</v>
      </c>
      <c r="K667">
        <v>3596.8</v>
      </c>
      <c r="L667">
        <v>1258.8800000000001</v>
      </c>
    </row>
    <row r="668" spans="1:12" x14ac:dyDescent="0.25">
      <c r="A668">
        <v>667</v>
      </c>
      <c r="B668" t="s">
        <v>216</v>
      </c>
      <c r="C668" t="s">
        <v>366</v>
      </c>
      <c r="D668" t="s">
        <v>368</v>
      </c>
      <c r="E668" t="s">
        <v>392</v>
      </c>
      <c r="F668" t="s">
        <v>471</v>
      </c>
      <c r="G668">
        <v>4023</v>
      </c>
      <c r="H668">
        <v>1.03</v>
      </c>
      <c r="I668">
        <v>4143.6899999999996</v>
      </c>
      <c r="J668">
        <v>0.86</v>
      </c>
      <c r="K668">
        <v>3459.78</v>
      </c>
      <c r="L668">
        <v>683.91</v>
      </c>
    </row>
    <row r="669" spans="1:12" x14ac:dyDescent="0.25">
      <c r="A669">
        <v>668</v>
      </c>
      <c r="B669" t="s">
        <v>295</v>
      </c>
      <c r="C669" t="s">
        <v>364</v>
      </c>
      <c r="D669" t="s">
        <v>367</v>
      </c>
      <c r="E669" t="s">
        <v>449</v>
      </c>
      <c r="F669" t="s">
        <v>475</v>
      </c>
      <c r="G669">
        <v>3353</v>
      </c>
      <c r="H669">
        <v>0.93</v>
      </c>
      <c r="I669">
        <v>3118.29</v>
      </c>
      <c r="J669">
        <v>0.64</v>
      </c>
      <c r="K669">
        <v>2145.92</v>
      </c>
      <c r="L669">
        <v>972.37</v>
      </c>
    </row>
    <row r="670" spans="1:12" x14ac:dyDescent="0.25">
      <c r="A670">
        <v>669</v>
      </c>
      <c r="B670" t="s">
        <v>116</v>
      </c>
      <c r="C670" t="s">
        <v>365</v>
      </c>
      <c r="D670" t="s">
        <v>367</v>
      </c>
      <c r="E670" t="s">
        <v>397</v>
      </c>
      <c r="F670" t="s">
        <v>475</v>
      </c>
      <c r="G670">
        <v>4122</v>
      </c>
      <c r="H670">
        <v>1.24</v>
      </c>
      <c r="I670">
        <v>5111.28</v>
      </c>
      <c r="J670">
        <v>0.88</v>
      </c>
      <c r="K670">
        <v>3627.36</v>
      </c>
      <c r="L670">
        <v>1483.92</v>
      </c>
    </row>
    <row r="671" spans="1:12" x14ac:dyDescent="0.25">
      <c r="A671">
        <v>670</v>
      </c>
      <c r="B671" t="s">
        <v>136</v>
      </c>
      <c r="C671" t="s">
        <v>365</v>
      </c>
      <c r="D671" t="s">
        <v>368</v>
      </c>
      <c r="E671" t="s">
        <v>399</v>
      </c>
      <c r="F671" t="s">
        <v>486</v>
      </c>
      <c r="G671">
        <v>1420</v>
      </c>
      <c r="H671">
        <v>1.32</v>
      </c>
      <c r="I671">
        <v>1874.4</v>
      </c>
      <c r="J671">
        <v>0.87</v>
      </c>
      <c r="K671">
        <v>1235.4000000000001</v>
      </c>
      <c r="L671">
        <v>639</v>
      </c>
    </row>
    <row r="672" spans="1:12" x14ac:dyDescent="0.25">
      <c r="A672">
        <v>671</v>
      </c>
      <c r="B672" t="s">
        <v>130</v>
      </c>
      <c r="C672" t="s">
        <v>365</v>
      </c>
      <c r="D672" t="s">
        <v>368</v>
      </c>
      <c r="E672" t="s">
        <v>447</v>
      </c>
      <c r="F672" t="s">
        <v>487</v>
      </c>
      <c r="G672">
        <v>1411</v>
      </c>
      <c r="H672">
        <v>1.01</v>
      </c>
      <c r="I672">
        <v>1425.11</v>
      </c>
      <c r="J672">
        <v>0.72</v>
      </c>
      <c r="K672">
        <v>1015.92</v>
      </c>
      <c r="L672">
        <v>409.19</v>
      </c>
    </row>
    <row r="673" spans="1:12" x14ac:dyDescent="0.25">
      <c r="A673">
        <v>672</v>
      </c>
      <c r="B673" t="s">
        <v>33</v>
      </c>
      <c r="C673" t="s">
        <v>366</v>
      </c>
      <c r="D673" t="s">
        <v>368</v>
      </c>
      <c r="E673" t="s">
        <v>439</v>
      </c>
      <c r="F673" t="s">
        <v>476</v>
      </c>
      <c r="G673">
        <v>4786</v>
      </c>
      <c r="H673">
        <v>1.33</v>
      </c>
      <c r="I673">
        <v>6365.38</v>
      </c>
      <c r="J673">
        <v>0.98</v>
      </c>
      <c r="K673">
        <v>4690.28</v>
      </c>
      <c r="L673">
        <v>1675.1</v>
      </c>
    </row>
    <row r="674" spans="1:12" x14ac:dyDescent="0.25">
      <c r="A674">
        <v>673</v>
      </c>
      <c r="B674" t="s">
        <v>78</v>
      </c>
      <c r="C674" t="s">
        <v>363</v>
      </c>
      <c r="D674" t="s">
        <v>368</v>
      </c>
      <c r="E674" t="s">
        <v>464</v>
      </c>
      <c r="F674" t="s">
        <v>479</v>
      </c>
      <c r="G674">
        <v>4815</v>
      </c>
      <c r="H674">
        <v>0.83</v>
      </c>
      <c r="I674">
        <v>3996.45</v>
      </c>
      <c r="J674">
        <v>0.53</v>
      </c>
      <c r="K674">
        <v>2551.9499999999998</v>
      </c>
      <c r="L674">
        <v>1444.5</v>
      </c>
    </row>
    <row r="675" spans="1:12" x14ac:dyDescent="0.25">
      <c r="A675">
        <v>674</v>
      </c>
      <c r="B675" t="s">
        <v>333</v>
      </c>
      <c r="C675" t="s">
        <v>365</v>
      </c>
      <c r="D675" t="s">
        <v>368</v>
      </c>
      <c r="E675" t="s">
        <v>456</v>
      </c>
      <c r="F675" t="s">
        <v>473</v>
      </c>
      <c r="G675">
        <v>568</v>
      </c>
      <c r="H675">
        <v>0.85</v>
      </c>
      <c r="I675">
        <v>482.8</v>
      </c>
      <c r="J675">
        <v>0.65</v>
      </c>
      <c r="K675">
        <v>369.2</v>
      </c>
      <c r="L675">
        <v>113.6</v>
      </c>
    </row>
    <row r="676" spans="1:12" x14ac:dyDescent="0.25">
      <c r="A676">
        <v>675</v>
      </c>
      <c r="B676" t="s">
        <v>307</v>
      </c>
      <c r="C676" t="s">
        <v>363</v>
      </c>
      <c r="D676" t="s">
        <v>370</v>
      </c>
      <c r="E676" t="s">
        <v>467</v>
      </c>
      <c r="F676" t="s">
        <v>482</v>
      </c>
      <c r="G676">
        <v>3666</v>
      </c>
      <c r="H676">
        <v>0.96</v>
      </c>
      <c r="I676">
        <v>3519.36</v>
      </c>
      <c r="J676">
        <v>0.67</v>
      </c>
      <c r="K676">
        <v>2456.2199999999998</v>
      </c>
      <c r="L676">
        <v>1063.1400000000001</v>
      </c>
    </row>
    <row r="677" spans="1:12" x14ac:dyDescent="0.25">
      <c r="A677">
        <v>676</v>
      </c>
      <c r="B677" t="s">
        <v>187</v>
      </c>
      <c r="C677" t="s">
        <v>365</v>
      </c>
      <c r="D677" t="s">
        <v>367</v>
      </c>
      <c r="E677" t="s">
        <v>387</v>
      </c>
      <c r="F677" t="s">
        <v>489</v>
      </c>
      <c r="G677">
        <v>4854</v>
      </c>
      <c r="H677">
        <v>0.86</v>
      </c>
      <c r="I677">
        <v>4174.4399999999996</v>
      </c>
      <c r="J677">
        <v>0.56000000000000005</v>
      </c>
      <c r="K677">
        <v>2718.24</v>
      </c>
      <c r="L677">
        <v>1456.2</v>
      </c>
    </row>
    <row r="678" spans="1:12" x14ac:dyDescent="0.25">
      <c r="A678">
        <v>677</v>
      </c>
      <c r="B678" t="s">
        <v>172</v>
      </c>
      <c r="C678" t="s">
        <v>363</v>
      </c>
      <c r="D678" t="s">
        <v>367</v>
      </c>
      <c r="E678" t="s">
        <v>391</v>
      </c>
      <c r="F678" t="s">
        <v>490</v>
      </c>
      <c r="G678">
        <v>2997</v>
      </c>
      <c r="H678">
        <v>1.03</v>
      </c>
      <c r="I678">
        <v>3086.91</v>
      </c>
      <c r="J678">
        <v>0.72</v>
      </c>
      <c r="K678">
        <v>2157.84</v>
      </c>
      <c r="L678">
        <v>929.07</v>
      </c>
    </row>
    <row r="679" spans="1:12" x14ac:dyDescent="0.25">
      <c r="A679">
        <v>678</v>
      </c>
      <c r="B679" t="s">
        <v>42</v>
      </c>
      <c r="C679" t="s">
        <v>365</v>
      </c>
      <c r="D679" t="s">
        <v>367</v>
      </c>
      <c r="E679" t="s">
        <v>411</v>
      </c>
      <c r="F679" t="s">
        <v>475</v>
      </c>
      <c r="G679">
        <v>3411</v>
      </c>
      <c r="H679">
        <v>1.24</v>
      </c>
      <c r="I679">
        <v>4229.6400000000003</v>
      </c>
      <c r="J679">
        <v>0.82</v>
      </c>
      <c r="K679">
        <v>2797.02</v>
      </c>
      <c r="L679">
        <v>1432.62</v>
      </c>
    </row>
    <row r="680" spans="1:12" x14ac:dyDescent="0.25">
      <c r="A680">
        <v>679</v>
      </c>
      <c r="B680" t="s">
        <v>240</v>
      </c>
      <c r="C680" t="s">
        <v>363</v>
      </c>
      <c r="D680" t="s">
        <v>370</v>
      </c>
      <c r="E680" t="s">
        <v>384</v>
      </c>
      <c r="F680" t="s">
        <v>471</v>
      </c>
      <c r="G680">
        <v>3671</v>
      </c>
      <c r="H680">
        <v>1.42</v>
      </c>
      <c r="I680">
        <v>5212.82</v>
      </c>
      <c r="J680">
        <v>1.1399999999999999</v>
      </c>
      <c r="K680">
        <v>4184.9399999999996</v>
      </c>
      <c r="L680">
        <v>1027.8800000000001</v>
      </c>
    </row>
    <row r="681" spans="1:12" x14ac:dyDescent="0.25">
      <c r="A681">
        <v>680</v>
      </c>
      <c r="B681" t="s">
        <v>261</v>
      </c>
      <c r="C681" t="s">
        <v>366</v>
      </c>
      <c r="D681" t="s">
        <v>370</v>
      </c>
      <c r="E681" t="s">
        <v>399</v>
      </c>
      <c r="F681" t="s">
        <v>487</v>
      </c>
      <c r="G681">
        <v>3718</v>
      </c>
      <c r="H681">
        <v>1.26</v>
      </c>
      <c r="I681">
        <v>4684.68</v>
      </c>
      <c r="J681">
        <v>0.78</v>
      </c>
      <c r="K681">
        <v>2900.04</v>
      </c>
      <c r="L681">
        <v>1784.64</v>
      </c>
    </row>
    <row r="682" spans="1:12" x14ac:dyDescent="0.25">
      <c r="A682">
        <v>681</v>
      </c>
      <c r="B682" t="s">
        <v>123</v>
      </c>
      <c r="C682" t="s">
        <v>364</v>
      </c>
      <c r="D682" t="s">
        <v>368</v>
      </c>
      <c r="E682" t="s">
        <v>388</v>
      </c>
      <c r="F682" t="s">
        <v>479</v>
      </c>
      <c r="G682">
        <v>1751</v>
      </c>
      <c r="H682">
        <v>1.1000000000000001</v>
      </c>
      <c r="I682">
        <v>1926.1</v>
      </c>
      <c r="J682">
        <v>0.75</v>
      </c>
      <c r="K682">
        <v>1313.25</v>
      </c>
      <c r="L682">
        <v>612.85</v>
      </c>
    </row>
    <row r="683" spans="1:12" x14ac:dyDescent="0.25">
      <c r="A683">
        <v>682</v>
      </c>
      <c r="B683" t="s">
        <v>334</v>
      </c>
      <c r="C683" t="s">
        <v>364</v>
      </c>
      <c r="D683" t="s">
        <v>370</v>
      </c>
      <c r="E683" t="s">
        <v>470</v>
      </c>
      <c r="F683" t="s">
        <v>474</v>
      </c>
      <c r="G683">
        <v>2193</v>
      </c>
      <c r="H683">
        <v>1.26</v>
      </c>
      <c r="I683">
        <v>2763.18</v>
      </c>
      <c r="J683">
        <v>0.94</v>
      </c>
      <c r="K683">
        <v>2061.42</v>
      </c>
      <c r="L683">
        <v>701.76</v>
      </c>
    </row>
    <row r="684" spans="1:12" x14ac:dyDescent="0.25">
      <c r="A684">
        <v>683</v>
      </c>
      <c r="B684" t="s">
        <v>171</v>
      </c>
      <c r="C684" t="s">
        <v>366</v>
      </c>
      <c r="D684" t="s">
        <v>368</v>
      </c>
      <c r="E684" t="s">
        <v>428</v>
      </c>
      <c r="F684" t="s">
        <v>490</v>
      </c>
      <c r="G684">
        <v>1607</v>
      </c>
      <c r="H684">
        <v>1.1000000000000001</v>
      </c>
      <c r="I684">
        <v>1767.7</v>
      </c>
      <c r="J684">
        <v>0.91</v>
      </c>
      <c r="K684">
        <v>1462.37</v>
      </c>
      <c r="L684">
        <v>305.33</v>
      </c>
    </row>
    <row r="685" spans="1:12" x14ac:dyDescent="0.25">
      <c r="A685">
        <v>684</v>
      </c>
      <c r="B685" t="s">
        <v>219</v>
      </c>
      <c r="C685" t="s">
        <v>365</v>
      </c>
      <c r="D685" t="s">
        <v>368</v>
      </c>
      <c r="E685" t="s">
        <v>458</v>
      </c>
      <c r="F685" t="s">
        <v>476</v>
      </c>
      <c r="G685">
        <v>4866</v>
      </c>
      <c r="H685">
        <v>1.46</v>
      </c>
      <c r="I685">
        <v>7104.36</v>
      </c>
      <c r="J685">
        <v>0.92</v>
      </c>
      <c r="K685">
        <v>4476.72</v>
      </c>
      <c r="L685">
        <v>2627.64</v>
      </c>
    </row>
    <row r="686" spans="1:12" x14ac:dyDescent="0.25">
      <c r="A686">
        <v>685</v>
      </c>
      <c r="B686" t="s">
        <v>335</v>
      </c>
      <c r="C686" t="s">
        <v>363</v>
      </c>
      <c r="D686" t="s">
        <v>368</v>
      </c>
      <c r="E686" t="s">
        <v>424</v>
      </c>
      <c r="F686" t="s">
        <v>487</v>
      </c>
      <c r="G686">
        <v>3891</v>
      </c>
      <c r="H686">
        <v>1.47</v>
      </c>
      <c r="I686">
        <v>5719.77</v>
      </c>
      <c r="J686">
        <v>0.99</v>
      </c>
      <c r="K686">
        <v>3852.09</v>
      </c>
      <c r="L686">
        <v>1867.68</v>
      </c>
    </row>
    <row r="687" spans="1:12" x14ac:dyDescent="0.25">
      <c r="A687">
        <v>686</v>
      </c>
      <c r="B687" t="s">
        <v>223</v>
      </c>
      <c r="C687" t="s">
        <v>366</v>
      </c>
      <c r="D687" t="s">
        <v>370</v>
      </c>
      <c r="E687" t="s">
        <v>427</v>
      </c>
      <c r="F687" t="s">
        <v>485</v>
      </c>
      <c r="G687">
        <v>1374</v>
      </c>
      <c r="H687">
        <v>0.89</v>
      </c>
      <c r="I687">
        <v>1222.8599999999999</v>
      </c>
      <c r="J687">
        <v>0.54</v>
      </c>
      <c r="K687">
        <v>741.96</v>
      </c>
      <c r="L687">
        <v>480.9</v>
      </c>
    </row>
    <row r="688" spans="1:12" x14ac:dyDescent="0.25">
      <c r="A688">
        <v>687</v>
      </c>
      <c r="B688" t="s">
        <v>294</v>
      </c>
      <c r="C688" t="s">
        <v>366</v>
      </c>
      <c r="D688" t="s">
        <v>370</v>
      </c>
      <c r="E688" t="s">
        <v>448</v>
      </c>
      <c r="F688" t="s">
        <v>477</v>
      </c>
      <c r="G688">
        <v>2391</v>
      </c>
      <c r="H688">
        <v>1.28</v>
      </c>
      <c r="I688">
        <v>3060.48</v>
      </c>
      <c r="J688">
        <v>0.88</v>
      </c>
      <c r="K688">
        <v>2104.08</v>
      </c>
      <c r="L688">
        <v>956.4</v>
      </c>
    </row>
    <row r="689" spans="1:12" x14ac:dyDescent="0.25">
      <c r="A689">
        <v>688</v>
      </c>
      <c r="B689" t="s">
        <v>336</v>
      </c>
      <c r="C689" t="s">
        <v>366</v>
      </c>
      <c r="D689" t="s">
        <v>369</v>
      </c>
      <c r="E689" t="s">
        <v>405</v>
      </c>
      <c r="F689" t="s">
        <v>489</v>
      </c>
      <c r="G689">
        <v>4340</v>
      </c>
      <c r="H689">
        <v>1.3</v>
      </c>
      <c r="I689">
        <v>5642</v>
      </c>
      <c r="J689">
        <v>0.9</v>
      </c>
      <c r="K689">
        <v>3906</v>
      </c>
      <c r="L689">
        <v>1736</v>
      </c>
    </row>
    <row r="690" spans="1:12" x14ac:dyDescent="0.25">
      <c r="A690">
        <v>689</v>
      </c>
      <c r="B690" t="s">
        <v>155</v>
      </c>
      <c r="C690" t="s">
        <v>364</v>
      </c>
      <c r="D690" t="s">
        <v>369</v>
      </c>
      <c r="E690" t="s">
        <v>457</v>
      </c>
      <c r="F690" t="s">
        <v>480</v>
      </c>
      <c r="G690">
        <v>2083</v>
      </c>
      <c r="H690">
        <v>0.96</v>
      </c>
      <c r="I690">
        <v>1999.68</v>
      </c>
      <c r="J690">
        <v>0.67</v>
      </c>
      <c r="K690">
        <v>1395.61</v>
      </c>
      <c r="L690">
        <v>604.07000000000005</v>
      </c>
    </row>
    <row r="691" spans="1:12" x14ac:dyDescent="0.25">
      <c r="A691">
        <v>690</v>
      </c>
      <c r="B691" t="s">
        <v>38</v>
      </c>
      <c r="C691" t="s">
        <v>364</v>
      </c>
      <c r="D691" t="s">
        <v>370</v>
      </c>
      <c r="E691" t="s">
        <v>373</v>
      </c>
      <c r="F691" t="s">
        <v>485</v>
      </c>
      <c r="G691">
        <v>2175</v>
      </c>
      <c r="H691">
        <v>0.85</v>
      </c>
      <c r="I691">
        <v>1848.75</v>
      </c>
      <c r="J691">
        <v>0.71</v>
      </c>
      <c r="K691">
        <v>1544.25</v>
      </c>
      <c r="L691">
        <v>304.5</v>
      </c>
    </row>
    <row r="692" spans="1:12" x14ac:dyDescent="0.25">
      <c r="A692">
        <v>691</v>
      </c>
      <c r="B692" t="s">
        <v>31</v>
      </c>
      <c r="C692" t="s">
        <v>365</v>
      </c>
      <c r="D692" t="s">
        <v>369</v>
      </c>
      <c r="E692" t="s">
        <v>378</v>
      </c>
      <c r="F692" t="s">
        <v>477</v>
      </c>
      <c r="G692">
        <v>4002</v>
      </c>
      <c r="H692">
        <v>1.08</v>
      </c>
      <c r="I692">
        <v>4322.16</v>
      </c>
      <c r="J692">
        <v>0.66</v>
      </c>
      <c r="K692">
        <v>2641.32</v>
      </c>
      <c r="L692">
        <v>1680.84</v>
      </c>
    </row>
    <row r="693" spans="1:12" x14ac:dyDescent="0.25">
      <c r="A693">
        <v>692</v>
      </c>
      <c r="B693" t="s">
        <v>79</v>
      </c>
      <c r="C693" t="s">
        <v>364</v>
      </c>
      <c r="D693" t="s">
        <v>370</v>
      </c>
      <c r="E693" t="s">
        <v>422</v>
      </c>
      <c r="F693" t="s">
        <v>479</v>
      </c>
      <c r="G693">
        <v>4892</v>
      </c>
      <c r="H693">
        <v>1.17</v>
      </c>
      <c r="I693">
        <v>5723.64</v>
      </c>
      <c r="J693">
        <v>0.96</v>
      </c>
      <c r="K693">
        <v>4696.32</v>
      </c>
      <c r="L693">
        <v>1027.32</v>
      </c>
    </row>
    <row r="694" spans="1:12" x14ac:dyDescent="0.25">
      <c r="A694">
        <v>693</v>
      </c>
      <c r="B694" t="s">
        <v>204</v>
      </c>
      <c r="C694" t="s">
        <v>364</v>
      </c>
      <c r="D694" t="s">
        <v>367</v>
      </c>
      <c r="E694" t="s">
        <v>378</v>
      </c>
      <c r="F694" t="s">
        <v>478</v>
      </c>
      <c r="G694">
        <v>2512</v>
      </c>
      <c r="H694">
        <v>1.1599999999999999</v>
      </c>
      <c r="I694">
        <v>2913.92</v>
      </c>
      <c r="J694">
        <v>0.81</v>
      </c>
      <c r="K694">
        <v>2034.72</v>
      </c>
      <c r="L694">
        <v>879.2</v>
      </c>
    </row>
    <row r="695" spans="1:12" x14ac:dyDescent="0.25">
      <c r="A695">
        <v>694</v>
      </c>
      <c r="B695" t="s">
        <v>53</v>
      </c>
      <c r="C695" t="s">
        <v>363</v>
      </c>
      <c r="D695" t="s">
        <v>369</v>
      </c>
      <c r="E695" t="s">
        <v>395</v>
      </c>
      <c r="F695" t="s">
        <v>482</v>
      </c>
      <c r="G695">
        <v>4100</v>
      </c>
      <c r="H695">
        <v>1.08</v>
      </c>
      <c r="I695">
        <v>4428</v>
      </c>
      <c r="J695">
        <v>0.73</v>
      </c>
      <c r="K695">
        <v>2993</v>
      </c>
      <c r="L695">
        <v>1435</v>
      </c>
    </row>
    <row r="696" spans="1:12" x14ac:dyDescent="0.25">
      <c r="A696">
        <v>695</v>
      </c>
      <c r="B696" t="s">
        <v>40</v>
      </c>
      <c r="C696" t="s">
        <v>366</v>
      </c>
      <c r="D696" t="s">
        <v>369</v>
      </c>
      <c r="E696" t="s">
        <v>449</v>
      </c>
      <c r="F696" t="s">
        <v>482</v>
      </c>
      <c r="G696">
        <v>946</v>
      </c>
      <c r="H696">
        <v>1.28</v>
      </c>
      <c r="I696">
        <v>1210.8800000000001</v>
      </c>
      <c r="J696">
        <v>1.06</v>
      </c>
      <c r="K696">
        <v>1002.76</v>
      </c>
      <c r="L696">
        <v>208.12</v>
      </c>
    </row>
    <row r="697" spans="1:12" x14ac:dyDescent="0.25">
      <c r="A697">
        <v>696</v>
      </c>
      <c r="B697" t="s">
        <v>191</v>
      </c>
      <c r="C697" t="s">
        <v>363</v>
      </c>
      <c r="D697" t="s">
        <v>369</v>
      </c>
      <c r="E697" t="s">
        <v>451</v>
      </c>
      <c r="F697" t="s">
        <v>490</v>
      </c>
      <c r="G697">
        <v>1427</v>
      </c>
      <c r="H697">
        <v>0.93</v>
      </c>
      <c r="I697">
        <v>1327.11</v>
      </c>
      <c r="J697">
        <v>0.69</v>
      </c>
      <c r="K697">
        <v>984.63</v>
      </c>
      <c r="L697">
        <v>342.48</v>
      </c>
    </row>
    <row r="698" spans="1:12" x14ac:dyDescent="0.25">
      <c r="A698">
        <v>697</v>
      </c>
      <c r="B698" t="s">
        <v>70</v>
      </c>
      <c r="C698" t="s">
        <v>364</v>
      </c>
      <c r="D698" t="s">
        <v>368</v>
      </c>
      <c r="E698" t="s">
        <v>438</v>
      </c>
      <c r="F698" t="s">
        <v>487</v>
      </c>
      <c r="G698">
        <v>4193</v>
      </c>
      <c r="H698">
        <v>0.82</v>
      </c>
      <c r="I698">
        <v>3438.26</v>
      </c>
      <c r="J698">
        <v>0.59</v>
      </c>
      <c r="K698">
        <v>2473.87</v>
      </c>
      <c r="L698">
        <v>964.39</v>
      </c>
    </row>
    <row r="699" spans="1:12" x14ac:dyDescent="0.25">
      <c r="A699">
        <v>698</v>
      </c>
      <c r="B699" t="s">
        <v>228</v>
      </c>
      <c r="C699" t="s">
        <v>364</v>
      </c>
      <c r="D699" t="s">
        <v>368</v>
      </c>
      <c r="E699" t="s">
        <v>437</v>
      </c>
      <c r="F699" t="s">
        <v>471</v>
      </c>
      <c r="G699">
        <v>3154</v>
      </c>
      <c r="H699">
        <v>1.28</v>
      </c>
      <c r="I699">
        <v>4037.12</v>
      </c>
      <c r="J699">
        <v>1.06</v>
      </c>
      <c r="K699">
        <v>3343.24</v>
      </c>
      <c r="L699">
        <v>693.88</v>
      </c>
    </row>
    <row r="700" spans="1:12" x14ac:dyDescent="0.25">
      <c r="A700">
        <v>699</v>
      </c>
      <c r="B700" t="s">
        <v>205</v>
      </c>
      <c r="C700" t="s">
        <v>363</v>
      </c>
      <c r="D700" t="s">
        <v>367</v>
      </c>
      <c r="E700" t="s">
        <v>409</v>
      </c>
      <c r="F700" t="s">
        <v>473</v>
      </c>
      <c r="G700">
        <v>3473</v>
      </c>
      <c r="H700">
        <v>0.86</v>
      </c>
      <c r="I700">
        <v>2986.78</v>
      </c>
      <c r="J700">
        <v>0.67</v>
      </c>
      <c r="K700">
        <v>2326.91</v>
      </c>
      <c r="L700">
        <v>659.87</v>
      </c>
    </row>
    <row r="701" spans="1:12" x14ac:dyDescent="0.25">
      <c r="A701">
        <v>700</v>
      </c>
      <c r="B701" t="s">
        <v>337</v>
      </c>
      <c r="C701" t="s">
        <v>364</v>
      </c>
      <c r="D701" t="s">
        <v>368</v>
      </c>
      <c r="E701" t="s">
        <v>385</v>
      </c>
      <c r="F701" t="s">
        <v>484</v>
      </c>
      <c r="G701">
        <v>859</v>
      </c>
      <c r="H701">
        <v>1.34</v>
      </c>
      <c r="I701">
        <v>1151.06</v>
      </c>
      <c r="J701">
        <v>1.1100000000000001</v>
      </c>
      <c r="K701">
        <v>953.49</v>
      </c>
      <c r="L701">
        <v>197.57</v>
      </c>
    </row>
    <row r="702" spans="1:12" x14ac:dyDescent="0.25">
      <c r="A702">
        <v>701</v>
      </c>
      <c r="B702" t="s">
        <v>252</v>
      </c>
      <c r="C702" t="s">
        <v>366</v>
      </c>
      <c r="D702" t="s">
        <v>368</v>
      </c>
      <c r="E702" t="s">
        <v>446</v>
      </c>
      <c r="F702" t="s">
        <v>480</v>
      </c>
      <c r="G702">
        <v>920</v>
      </c>
      <c r="H702">
        <v>1.0900000000000001</v>
      </c>
      <c r="I702">
        <v>1002.8</v>
      </c>
      <c r="J702">
        <v>0.74</v>
      </c>
      <c r="K702">
        <v>680.8</v>
      </c>
      <c r="L702">
        <v>322</v>
      </c>
    </row>
    <row r="703" spans="1:12" x14ac:dyDescent="0.25">
      <c r="A703">
        <v>702</v>
      </c>
      <c r="B703" t="s">
        <v>176</v>
      </c>
      <c r="C703" t="s">
        <v>366</v>
      </c>
      <c r="D703" t="s">
        <v>370</v>
      </c>
      <c r="E703" t="s">
        <v>459</v>
      </c>
      <c r="F703" t="s">
        <v>474</v>
      </c>
      <c r="G703">
        <v>2161</v>
      </c>
      <c r="H703">
        <v>0.8</v>
      </c>
      <c r="I703">
        <v>1728.8</v>
      </c>
      <c r="J703">
        <v>0.63</v>
      </c>
      <c r="K703">
        <v>1361.43</v>
      </c>
      <c r="L703">
        <v>367.37</v>
      </c>
    </row>
    <row r="704" spans="1:12" x14ac:dyDescent="0.25">
      <c r="A704">
        <v>703</v>
      </c>
      <c r="B704" t="s">
        <v>267</v>
      </c>
      <c r="C704" t="s">
        <v>364</v>
      </c>
      <c r="D704" t="s">
        <v>369</v>
      </c>
      <c r="E704" t="s">
        <v>460</v>
      </c>
      <c r="F704" t="s">
        <v>476</v>
      </c>
      <c r="G704">
        <v>547</v>
      </c>
      <c r="H704">
        <v>1.23</v>
      </c>
      <c r="I704">
        <v>672.81</v>
      </c>
      <c r="J704">
        <v>0.89</v>
      </c>
      <c r="K704">
        <v>486.83</v>
      </c>
      <c r="L704">
        <v>185.98</v>
      </c>
    </row>
    <row r="705" spans="1:12" x14ac:dyDescent="0.25">
      <c r="A705">
        <v>704</v>
      </c>
      <c r="B705" t="s">
        <v>331</v>
      </c>
      <c r="C705" t="s">
        <v>364</v>
      </c>
      <c r="D705" t="s">
        <v>369</v>
      </c>
      <c r="E705" t="s">
        <v>438</v>
      </c>
      <c r="F705" t="s">
        <v>473</v>
      </c>
      <c r="G705">
        <v>1150</v>
      </c>
      <c r="H705">
        <v>1.22</v>
      </c>
      <c r="I705">
        <v>1403</v>
      </c>
      <c r="J705">
        <v>0.73</v>
      </c>
      <c r="K705">
        <v>839.5</v>
      </c>
      <c r="L705">
        <v>563.5</v>
      </c>
    </row>
    <row r="706" spans="1:12" x14ac:dyDescent="0.25">
      <c r="A706">
        <v>705</v>
      </c>
      <c r="B706" t="s">
        <v>64</v>
      </c>
      <c r="C706" t="s">
        <v>366</v>
      </c>
      <c r="D706" t="s">
        <v>370</v>
      </c>
      <c r="E706" t="s">
        <v>456</v>
      </c>
      <c r="F706" t="s">
        <v>480</v>
      </c>
      <c r="G706">
        <v>1714</v>
      </c>
      <c r="H706">
        <v>0.84</v>
      </c>
      <c r="I706">
        <v>1439.76</v>
      </c>
      <c r="J706">
        <v>0.57999999999999996</v>
      </c>
      <c r="K706">
        <v>994.12</v>
      </c>
      <c r="L706">
        <v>445.64</v>
      </c>
    </row>
    <row r="707" spans="1:12" x14ac:dyDescent="0.25">
      <c r="A707">
        <v>706</v>
      </c>
      <c r="B707" t="s">
        <v>219</v>
      </c>
      <c r="C707" t="s">
        <v>365</v>
      </c>
      <c r="D707" t="s">
        <v>367</v>
      </c>
      <c r="E707" t="s">
        <v>423</v>
      </c>
      <c r="F707" t="s">
        <v>486</v>
      </c>
      <c r="G707">
        <v>901</v>
      </c>
      <c r="H707">
        <v>0.88</v>
      </c>
      <c r="I707">
        <v>792.88</v>
      </c>
      <c r="J707">
        <v>0.75</v>
      </c>
      <c r="K707">
        <v>675.75</v>
      </c>
      <c r="L707">
        <v>117.13</v>
      </c>
    </row>
    <row r="708" spans="1:12" x14ac:dyDescent="0.25">
      <c r="A708">
        <v>707</v>
      </c>
      <c r="B708" t="s">
        <v>27</v>
      </c>
      <c r="C708" t="s">
        <v>366</v>
      </c>
      <c r="D708" t="s">
        <v>370</v>
      </c>
      <c r="E708" t="s">
        <v>378</v>
      </c>
      <c r="F708" t="s">
        <v>479</v>
      </c>
      <c r="G708">
        <v>3450</v>
      </c>
      <c r="H708">
        <v>1.45</v>
      </c>
      <c r="I708">
        <v>5002.5</v>
      </c>
      <c r="J708">
        <v>0.9</v>
      </c>
      <c r="K708">
        <v>3105</v>
      </c>
      <c r="L708">
        <v>1897.5</v>
      </c>
    </row>
    <row r="709" spans="1:12" x14ac:dyDescent="0.25">
      <c r="A709">
        <v>708</v>
      </c>
      <c r="B709" t="s">
        <v>338</v>
      </c>
      <c r="C709" t="s">
        <v>365</v>
      </c>
      <c r="D709" t="s">
        <v>370</v>
      </c>
      <c r="E709" t="s">
        <v>464</v>
      </c>
      <c r="F709" t="s">
        <v>486</v>
      </c>
      <c r="G709">
        <v>4000</v>
      </c>
      <c r="H709">
        <v>1.39</v>
      </c>
      <c r="I709">
        <v>5560</v>
      </c>
      <c r="J709">
        <v>0.86</v>
      </c>
      <c r="K709">
        <v>3440</v>
      </c>
      <c r="L709">
        <v>2120</v>
      </c>
    </row>
    <row r="710" spans="1:12" x14ac:dyDescent="0.25">
      <c r="A710">
        <v>709</v>
      </c>
      <c r="B710" t="s">
        <v>199</v>
      </c>
      <c r="C710" t="s">
        <v>363</v>
      </c>
      <c r="D710" t="s">
        <v>368</v>
      </c>
      <c r="E710" t="s">
        <v>454</v>
      </c>
      <c r="F710" t="s">
        <v>471</v>
      </c>
      <c r="G710">
        <v>3196</v>
      </c>
      <c r="H710">
        <v>1.17</v>
      </c>
      <c r="I710">
        <v>3739.32</v>
      </c>
      <c r="J710">
        <v>0.86</v>
      </c>
      <c r="K710">
        <v>2748.56</v>
      </c>
      <c r="L710">
        <v>990.76</v>
      </c>
    </row>
    <row r="711" spans="1:12" x14ac:dyDescent="0.25">
      <c r="A711">
        <v>710</v>
      </c>
      <c r="B711" t="s">
        <v>70</v>
      </c>
      <c r="C711" t="s">
        <v>363</v>
      </c>
      <c r="D711" t="s">
        <v>368</v>
      </c>
      <c r="E711" t="s">
        <v>450</v>
      </c>
      <c r="F711" t="s">
        <v>479</v>
      </c>
      <c r="G711">
        <v>4833</v>
      </c>
      <c r="H711">
        <v>1.49</v>
      </c>
      <c r="I711">
        <v>7201.17</v>
      </c>
      <c r="J711">
        <v>1.07</v>
      </c>
      <c r="K711">
        <v>5171.3100000000004</v>
      </c>
      <c r="L711">
        <v>2029.86</v>
      </c>
    </row>
    <row r="712" spans="1:12" x14ac:dyDescent="0.25">
      <c r="A712">
        <v>711</v>
      </c>
      <c r="B712" t="s">
        <v>336</v>
      </c>
      <c r="C712" t="s">
        <v>364</v>
      </c>
      <c r="D712" t="s">
        <v>370</v>
      </c>
      <c r="E712" t="s">
        <v>444</v>
      </c>
      <c r="F712" t="s">
        <v>487</v>
      </c>
      <c r="G712">
        <v>2627</v>
      </c>
      <c r="H712">
        <v>1.17</v>
      </c>
      <c r="I712">
        <v>3073.59</v>
      </c>
      <c r="J712">
        <v>0.99</v>
      </c>
      <c r="K712">
        <v>2600.73</v>
      </c>
      <c r="L712">
        <v>472.86</v>
      </c>
    </row>
    <row r="713" spans="1:12" x14ac:dyDescent="0.25">
      <c r="A713">
        <v>712</v>
      </c>
      <c r="B713" t="s">
        <v>35</v>
      </c>
      <c r="C713" t="s">
        <v>364</v>
      </c>
      <c r="D713" t="s">
        <v>368</v>
      </c>
      <c r="E713" t="s">
        <v>430</v>
      </c>
      <c r="F713" t="s">
        <v>483</v>
      </c>
      <c r="G713">
        <v>4534</v>
      </c>
      <c r="H713">
        <v>1.37</v>
      </c>
      <c r="I713">
        <v>6211.58</v>
      </c>
      <c r="J713">
        <v>1.1200000000000001</v>
      </c>
      <c r="K713">
        <v>5078.08</v>
      </c>
      <c r="L713">
        <v>1133.5</v>
      </c>
    </row>
    <row r="714" spans="1:12" x14ac:dyDescent="0.25">
      <c r="A714">
        <v>713</v>
      </c>
      <c r="B714" t="s">
        <v>136</v>
      </c>
      <c r="C714" t="s">
        <v>366</v>
      </c>
      <c r="D714" t="s">
        <v>370</v>
      </c>
      <c r="E714" t="s">
        <v>398</v>
      </c>
      <c r="F714" t="s">
        <v>488</v>
      </c>
      <c r="G714">
        <v>696</v>
      </c>
      <c r="H714">
        <v>1.1299999999999999</v>
      </c>
      <c r="I714">
        <v>786.48</v>
      </c>
      <c r="J714">
        <v>0.9</v>
      </c>
      <c r="K714">
        <v>626.4</v>
      </c>
      <c r="L714">
        <v>160.08000000000001</v>
      </c>
    </row>
    <row r="715" spans="1:12" x14ac:dyDescent="0.25">
      <c r="A715">
        <v>714</v>
      </c>
      <c r="B715" t="s">
        <v>101</v>
      </c>
      <c r="C715" t="s">
        <v>364</v>
      </c>
      <c r="D715" t="s">
        <v>369</v>
      </c>
      <c r="E715" t="s">
        <v>377</v>
      </c>
      <c r="F715" t="s">
        <v>487</v>
      </c>
      <c r="G715">
        <v>3364</v>
      </c>
      <c r="H715">
        <v>1.19</v>
      </c>
      <c r="I715">
        <v>4003.16</v>
      </c>
      <c r="J715">
        <v>0.9</v>
      </c>
      <c r="K715">
        <v>3027.6</v>
      </c>
      <c r="L715">
        <v>975.56</v>
      </c>
    </row>
    <row r="716" spans="1:12" x14ac:dyDescent="0.25">
      <c r="A716">
        <v>715</v>
      </c>
      <c r="B716" t="s">
        <v>208</v>
      </c>
      <c r="C716" t="s">
        <v>365</v>
      </c>
      <c r="D716" t="s">
        <v>368</v>
      </c>
      <c r="E716" t="s">
        <v>408</v>
      </c>
      <c r="F716" t="s">
        <v>486</v>
      </c>
      <c r="G716">
        <v>3021</v>
      </c>
      <c r="H716">
        <v>1.01</v>
      </c>
      <c r="I716">
        <v>3051.21</v>
      </c>
      <c r="J716">
        <v>0.74</v>
      </c>
      <c r="K716">
        <v>2235.54</v>
      </c>
      <c r="L716">
        <v>815.67</v>
      </c>
    </row>
    <row r="717" spans="1:12" x14ac:dyDescent="0.25">
      <c r="A717">
        <v>716</v>
      </c>
      <c r="B717" t="s">
        <v>235</v>
      </c>
      <c r="C717" t="s">
        <v>365</v>
      </c>
      <c r="D717" t="s">
        <v>367</v>
      </c>
      <c r="E717" t="s">
        <v>425</v>
      </c>
      <c r="F717" t="s">
        <v>484</v>
      </c>
      <c r="G717">
        <v>738</v>
      </c>
      <c r="H717">
        <v>1.38</v>
      </c>
      <c r="I717">
        <v>1018.44</v>
      </c>
      <c r="J717">
        <v>0.89</v>
      </c>
      <c r="K717">
        <v>656.82</v>
      </c>
      <c r="L717">
        <v>361.62</v>
      </c>
    </row>
    <row r="718" spans="1:12" x14ac:dyDescent="0.25">
      <c r="A718">
        <v>717</v>
      </c>
      <c r="B718" t="s">
        <v>312</v>
      </c>
      <c r="C718" t="s">
        <v>364</v>
      </c>
      <c r="D718" t="s">
        <v>369</v>
      </c>
      <c r="E718" t="s">
        <v>372</v>
      </c>
      <c r="F718" t="s">
        <v>474</v>
      </c>
      <c r="G718">
        <v>4444</v>
      </c>
      <c r="H718">
        <v>0.91</v>
      </c>
      <c r="I718">
        <v>4044.04</v>
      </c>
      <c r="J718">
        <v>0.65</v>
      </c>
      <c r="K718">
        <v>2888.6</v>
      </c>
      <c r="L718">
        <v>1155.44</v>
      </c>
    </row>
    <row r="719" spans="1:12" x14ac:dyDescent="0.25">
      <c r="A719">
        <v>718</v>
      </c>
      <c r="B719" t="s">
        <v>17</v>
      </c>
      <c r="C719" t="s">
        <v>364</v>
      </c>
      <c r="D719" t="s">
        <v>370</v>
      </c>
      <c r="E719" t="s">
        <v>438</v>
      </c>
      <c r="F719" t="s">
        <v>478</v>
      </c>
      <c r="G719">
        <v>4768</v>
      </c>
      <c r="H719">
        <v>1.01</v>
      </c>
      <c r="I719">
        <v>4815.68</v>
      </c>
      <c r="J719">
        <v>0.79</v>
      </c>
      <c r="K719">
        <v>3766.72</v>
      </c>
      <c r="L719">
        <v>1048.96</v>
      </c>
    </row>
    <row r="720" spans="1:12" x14ac:dyDescent="0.25">
      <c r="A720">
        <v>719</v>
      </c>
      <c r="B720" t="s">
        <v>44</v>
      </c>
      <c r="C720" t="s">
        <v>366</v>
      </c>
      <c r="D720" t="s">
        <v>367</v>
      </c>
      <c r="E720" t="s">
        <v>415</v>
      </c>
      <c r="F720" t="s">
        <v>487</v>
      </c>
      <c r="G720">
        <v>3396</v>
      </c>
      <c r="H720">
        <v>0.85</v>
      </c>
      <c r="I720">
        <v>2886.6</v>
      </c>
      <c r="J720">
        <v>0.54</v>
      </c>
      <c r="K720">
        <v>1833.84</v>
      </c>
      <c r="L720">
        <v>1052.76</v>
      </c>
    </row>
    <row r="721" spans="1:12" x14ac:dyDescent="0.25">
      <c r="A721">
        <v>720</v>
      </c>
      <c r="B721" t="s">
        <v>261</v>
      </c>
      <c r="C721" t="s">
        <v>364</v>
      </c>
      <c r="D721" t="s">
        <v>370</v>
      </c>
      <c r="E721" t="s">
        <v>384</v>
      </c>
      <c r="F721" t="s">
        <v>476</v>
      </c>
      <c r="G721">
        <v>1859</v>
      </c>
      <c r="H721">
        <v>1.2</v>
      </c>
      <c r="I721">
        <v>2230.8000000000002</v>
      </c>
      <c r="J721">
        <v>0.84</v>
      </c>
      <c r="K721">
        <v>1561.56</v>
      </c>
      <c r="L721">
        <v>669.24</v>
      </c>
    </row>
    <row r="722" spans="1:12" x14ac:dyDescent="0.25">
      <c r="A722">
        <v>721</v>
      </c>
      <c r="B722" t="s">
        <v>230</v>
      </c>
      <c r="C722" t="s">
        <v>365</v>
      </c>
      <c r="D722" t="s">
        <v>367</v>
      </c>
      <c r="E722" t="s">
        <v>453</v>
      </c>
      <c r="F722" t="s">
        <v>487</v>
      </c>
      <c r="G722">
        <v>759</v>
      </c>
      <c r="H722">
        <v>0.99</v>
      </c>
      <c r="I722">
        <v>751.41</v>
      </c>
      <c r="J722">
        <v>0.62</v>
      </c>
      <c r="K722">
        <v>470.58</v>
      </c>
      <c r="L722">
        <v>280.83</v>
      </c>
    </row>
    <row r="723" spans="1:12" x14ac:dyDescent="0.25">
      <c r="A723">
        <v>722</v>
      </c>
      <c r="B723" t="s">
        <v>138</v>
      </c>
      <c r="C723" t="s">
        <v>364</v>
      </c>
      <c r="D723" t="s">
        <v>370</v>
      </c>
      <c r="E723" t="s">
        <v>443</v>
      </c>
      <c r="F723" t="s">
        <v>485</v>
      </c>
      <c r="G723">
        <v>4801</v>
      </c>
      <c r="H723">
        <v>1.01</v>
      </c>
      <c r="I723">
        <v>4849.01</v>
      </c>
      <c r="J723">
        <v>0.63</v>
      </c>
      <c r="K723">
        <v>3024.63</v>
      </c>
      <c r="L723">
        <v>1824.38</v>
      </c>
    </row>
    <row r="724" spans="1:12" x14ac:dyDescent="0.25">
      <c r="A724">
        <v>723</v>
      </c>
      <c r="B724" t="s">
        <v>204</v>
      </c>
      <c r="C724" t="s">
        <v>363</v>
      </c>
      <c r="D724" t="s">
        <v>368</v>
      </c>
      <c r="E724" t="s">
        <v>396</v>
      </c>
      <c r="F724" t="s">
        <v>490</v>
      </c>
      <c r="G724">
        <v>704</v>
      </c>
      <c r="H724">
        <v>1.36</v>
      </c>
      <c r="I724">
        <v>957.44</v>
      </c>
      <c r="J724">
        <v>1.1200000000000001</v>
      </c>
      <c r="K724">
        <v>788.48</v>
      </c>
      <c r="L724">
        <v>168.96</v>
      </c>
    </row>
    <row r="725" spans="1:12" x14ac:dyDescent="0.25">
      <c r="A725">
        <v>724</v>
      </c>
      <c r="B725" t="s">
        <v>111</v>
      </c>
      <c r="C725" t="s">
        <v>365</v>
      </c>
      <c r="D725" t="s">
        <v>368</v>
      </c>
      <c r="E725" t="s">
        <v>468</v>
      </c>
      <c r="F725" t="s">
        <v>490</v>
      </c>
      <c r="G725">
        <v>3042</v>
      </c>
      <c r="H725">
        <v>1.34</v>
      </c>
      <c r="I725">
        <v>4076.28</v>
      </c>
      <c r="J725">
        <v>0.85</v>
      </c>
      <c r="K725">
        <v>2585.6999999999998</v>
      </c>
      <c r="L725">
        <v>1490.58</v>
      </c>
    </row>
    <row r="726" spans="1:12" x14ac:dyDescent="0.25">
      <c r="A726">
        <v>725</v>
      </c>
      <c r="B726" t="s">
        <v>330</v>
      </c>
      <c r="C726" t="s">
        <v>366</v>
      </c>
      <c r="D726" t="s">
        <v>368</v>
      </c>
      <c r="E726" t="s">
        <v>451</v>
      </c>
      <c r="F726" t="s">
        <v>478</v>
      </c>
      <c r="G726">
        <v>4263</v>
      </c>
      <c r="H726">
        <v>1.07</v>
      </c>
      <c r="I726">
        <v>4561.41</v>
      </c>
      <c r="J726">
        <v>0.87</v>
      </c>
      <c r="K726">
        <v>3708.81</v>
      </c>
      <c r="L726">
        <v>852.6</v>
      </c>
    </row>
    <row r="727" spans="1:12" x14ac:dyDescent="0.25">
      <c r="A727">
        <v>726</v>
      </c>
      <c r="B727" t="s">
        <v>339</v>
      </c>
      <c r="C727" t="s">
        <v>365</v>
      </c>
      <c r="D727" t="s">
        <v>367</v>
      </c>
      <c r="E727" t="s">
        <v>377</v>
      </c>
      <c r="F727" t="s">
        <v>489</v>
      </c>
      <c r="G727">
        <v>1213</v>
      </c>
      <c r="H727">
        <v>1.03</v>
      </c>
      <c r="I727">
        <v>1249.3900000000001</v>
      </c>
      <c r="J727">
        <v>0.85</v>
      </c>
      <c r="K727">
        <v>1031.05</v>
      </c>
      <c r="L727">
        <v>218.34</v>
      </c>
    </row>
    <row r="728" spans="1:12" x14ac:dyDescent="0.25">
      <c r="A728">
        <v>727</v>
      </c>
      <c r="B728" t="s">
        <v>340</v>
      </c>
      <c r="C728" t="s">
        <v>363</v>
      </c>
      <c r="D728" t="s">
        <v>370</v>
      </c>
      <c r="E728" t="s">
        <v>415</v>
      </c>
      <c r="F728" t="s">
        <v>482</v>
      </c>
      <c r="G728">
        <v>2219</v>
      </c>
      <c r="H728">
        <v>1.02</v>
      </c>
      <c r="I728">
        <v>2263.38</v>
      </c>
      <c r="J728">
        <v>0.66</v>
      </c>
      <c r="K728">
        <v>1464.54</v>
      </c>
      <c r="L728">
        <v>798.84</v>
      </c>
    </row>
    <row r="729" spans="1:12" x14ac:dyDescent="0.25">
      <c r="A729">
        <v>728</v>
      </c>
      <c r="B729" t="s">
        <v>94</v>
      </c>
      <c r="C729" t="s">
        <v>364</v>
      </c>
      <c r="D729" t="s">
        <v>370</v>
      </c>
      <c r="E729" t="s">
        <v>403</v>
      </c>
      <c r="F729" t="s">
        <v>488</v>
      </c>
      <c r="G729">
        <v>2733</v>
      </c>
      <c r="H729">
        <v>0.9</v>
      </c>
      <c r="I729">
        <v>2459.6999999999998</v>
      </c>
      <c r="J729">
        <v>0.6</v>
      </c>
      <c r="K729">
        <v>1639.8</v>
      </c>
      <c r="L729">
        <v>819.9</v>
      </c>
    </row>
    <row r="730" spans="1:12" x14ac:dyDescent="0.25">
      <c r="A730">
        <v>729</v>
      </c>
      <c r="B730" t="s">
        <v>38</v>
      </c>
      <c r="C730" t="s">
        <v>366</v>
      </c>
      <c r="D730" t="s">
        <v>367</v>
      </c>
      <c r="E730" t="s">
        <v>470</v>
      </c>
      <c r="F730" t="s">
        <v>475</v>
      </c>
      <c r="G730">
        <v>5000</v>
      </c>
      <c r="H730">
        <v>1.02</v>
      </c>
      <c r="I730">
        <v>5100</v>
      </c>
      <c r="J730">
        <v>0.65</v>
      </c>
      <c r="K730">
        <v>3250</v>
      </c>
      <c r="L730">
        <v>1850</v>
      </c>
    </row>
    <row r="731" spans="1:12" x14ac:dyDescent="0.25">
      <c r="A731">
        <v>730</v>
      </c>
      <c r="B731" t="s">
        <v>119</v>
      </c>
      <c r="C731" t="s">
        <v>366</v>
      </c>
      <c r="D731" t="s">
        <v>370</v>
      </c>
      <c r="E731" t="s">
        <v>397</v>
      </c>
      <c r="F731" t="s">
        <v>486</v>
      </c>
      <c r="G731">
        <v>3050</v>
      </c>
      <c r="H731">
        <v>1.23</v>
      </c>
      <c r="I731">
        <v>3751.5</v>
      </c>
      <c r="J731">
        <v>0.84</v>
      </c>
      <c r="K731">
        <v>2562</v>
      </c>
      <c r="L731">
        <v>1189.5</v>
      </c>
    </row>
    <row r="732" spans="1:12" x14ac:dyDescent="0.25">
      <c r="A732">
        <v>731</v>
      </c>
      <c r="B732" t="s">
        <v>256</v>
      </c>
      <c r="C732" t="s">
        <v>366</v>
      </c>
      <c r="D732" t="s">
        <v>367</v>
      </c>
      <c r="E732" t="s">
        <v>435</v>
      </c>
      <c r="F732" t="s">
        <v>483</v>
      </c>
      <c r="G732">
        <v>913</v>
      </c>
      <c r="H732">
        <v>0.87</v>
      </c>
      <c r="I732">
        <v>794.31</v>
      </c>
      <c r="J732">
        <v>0.53</v>
      </c>
      <c r="K732">
        <v>483.89</v>
      </c>
      <c r="L732">
        <v>310.42</v>
      </c>
    </row>
    <row r="733" spans="1:12" x14ac:dyDescent="0.25">
      <c r="A733">
        <v>732</v>
      </c>
      <c r="B733" t="s">
        <v>139</v>
      </c>
      <c r="C733" t="s">
        <v>366</v>
      </c>
      <c r="D733" t="s">
        <v>369</v>
      </c>
      <c r="E733" t="s">
        <v>453</v>
      </c>
      <c r="F733" t="s">
        <v>489</v>
      </c>
      <c r="G733">
        <v>4152</v>
      </c>
      <c r="H733">
        <v>1.23</v>
      </c>
      <c r="I733">
        <v>5106.96</v>
      </c>
      <c r="J733">
        <v>0.83</v>
      </c>
      <c r="K733">
        <v>3446.16</v>
      </c>
      <c r="L733">
        <v>1660.8</v>
      </c>
    </row>
    <row r="734" spans="1:12" x14ac:dyDescent="0.25">
      <c r="A734">
        <v>733</v>
      </c>
      <c r="B734" t="s">
        <v>244</v>
      </c>
      <c r="C734" t="s">
        <v>364</v>
      </c>
      <c r="D734" t="s">
        <v>367</v>
      </c>
      <c r="E734" t="s">
        <v>433</v>
      </c>
      <c r="F734" t="s">
        <v>474</v>
      </c>
      <c r="G734">
        <v>1261</v>
      </c>
      <c r="H734">
        <v>1.37</v>
      </c>
      <c r="I734">
        <v>1727.57</v>
      </c>
      <c r="J734">
        <v>1.1399999999999999</v>
      </c>
      <c r="K734">
        <v>1437.54</v>
      </c>
      <c r="L734">
        <v>290.02999999999997</v>
      </c>
    </row>
    <row r="735" spans="1:12" x14ac:dyDescent="0.25">
      <c r="A735">
        <v>734</v>
      </c>
      <c r="B735" t="s">
        <v>328</v>
      </c>
      <c r="C735" t="s">
        <v>364</v>
      </c>
      <c r="D735" t="s">
        <v>367</v>
      </c>
      <c r="E735" t="s">
        <v>428</v>
      </c>
      <c r="F735" t="s">
        <v>473</v>
      </c>
      <c r="G735">
        <v>4354</v>
      </c>
      <c r="H735">
        <v>0.96</v>
      </c>
      <c r="I735">
        <v>4179.84</v>
      </c>
      <c r="J735">
        <v>0.63</v>
      </c>
      <c r="K735">
        <v>2743.02</v>
      </c>
      <c r="L735">
        <v>1436.82</v>
      </c>
    </row>
    <row r="736" spans="1:12" x14ac:dyDescent="0.25">
      <c r="A736">
        <v>735</v>
      </c>
      <c r="B736" t="s">
        <v>301</v>
      </c>
      <c r="C736" t="s">
        <v>365</v>
      </c>
      <c r="D736" t="s">
        <v>370</v>
      </c>
      <c r="E736" t="s">
        <v>455</v>
      </c>
      <c r="F736" t="s">
        <v>480</v>
      </c>
      <c r="G736">
        <v>3206</v>
      </c>
      <c r="H736">
        <v>1.35</v>
      </c>
      <c r="I736">
        <v>4328.1000000000004</v>
      </c>
      <c r="J736">
        <v>1.1100000000000001</v>
      </c>
      <c r="K736">
        <v>3558.66</v>
      </c>
      <c r="L736">
        <v>769.44</v>
      </c>
    </row>
    <row r="737" spans="1:12" x14ac:dyDescent="0.25">
      <c r="A737">
        <v>736</v>
      </c>
      <c r="B737" t="s">
        <v>134</v>
      </c>
      <c r="C737" t="s">
        <v>363</v>
      </c>
      <c r="D737" t="s">
        <v>369</v>
      </c>
      <c r="E737" t="s">
        <v>458</v>
      </c>
      <c r="F737" t="s">
        <v>483</v>
      </c>
      <c r="G737">
        <v>1424</v>
      </c>
      <c r="H737">
        <v>1.05</v>
      </c>
      <c r="I737">
        <v>1495.2</v>
      </c>
      <c r="J737">
        <v>0.75</v>
      </c>
      <c r="K737">
        <v>1068</v>
      </c>
      <c r="L737">
        <v>427.2</v>
      </c>
    </row>
    <row r="738" spans="1:12" x14ac:dyDescent="0.25">
      <c r="A738">
        <v>737</v>
      </c>
      <c r="B738" t="s">
        <v>341</v>
      </c>
      <c r="C738" t="s">
        <v>365</v>
      </c>
      <c r="D738" t="s">
        <v>370</v>
      </c>
      <c r="E738" t="s">
        <v>444</v>
      </c>
      <c r="F738" t="s">
        <v>479</v>
      </c>
      <c r="G738">
        <v>1543</v>
      </c>
      <c r="H738">
        <v>1.1599999999999999</v>
      </c>
      <c r="I738">
        <v>1789.88</v>
      </c>
      <c r="J738">
        <v>0.81</v>
      </c>
      <c r="K738">
        <v>1249.83</v>
      </c>
      <c r="L738">
        <v>540.04999999999995</v>
      </c>
    </row>
    <row r="739" spans="1:12" x14ac:dyDescent="0.25">
      <c r="A739">
        <v>738</v>
      </c>
      <c r="B739" t="s">
        <v>164</v>
      </c>
      <c r="C739" t="s">
        <v>365</v>
      </c>
      <c r="D739" t="s">
        <v>367</v>
      </c>
      <c r="E739" t="s">
        <v>421</v>
      </c>
      <c r="F739" t="s">
        <v>486</v>
      </c>
      <c r="G739">
        <v>2974</v>
      </c>
      <c r="H739">
        <v>1.17</v>
      </c>
      <c r="I739">
        <v>3479.58</v>
      </c>
      <c r="J739">
        <v>0.82</v>
      </c>
      <c r="K739">
        <v>2438.6799999999998</v>
      </c>
      <c r="L739">
        <v>1040.9000000000001</v>
      </c>
    </row>
    <row r="740" spans="1:12" x14ac:dyDescent="0.25">
      <c r="A740">
        <v>739</v>
      </c>
      <c r="B740" t="s">
        <v>299</v>
      </c>
      <c r="C740" t="s">
        <v>366</v>
      </c>
      <c r="D740" t="s">
        <v>368</v>
      </c>
      <c r="E740" t="s">
        <v>385</v>
      </c>
      <c r="F740" t="s">
        <v>480</v>
      </c>
      <c r="G740">
        <v>4451</v>
      </c>
      <c r="H740">
        <v>1.07</v>
      </c>
      <c r="I740">
        <v>4762.57</v>
      </c>
      <c r="J740">
        <v>0.73</v>
      </c>
      <c r="K740">
        <v>3249.23</v>
      </c>
      <c r="L740">
        <v>1513.34</v>
      </c>
    </row>
    <row r="741" spans="1:12" x14ac:dyDescent="0.25">
      <c r="A741">
        <v>740</v>
      </c>
      <c r="B741" t="s">
        <v>342</v>
      </c>
      <c r="C741" t="s">
        <v>364</v>
      </c>
      <c r="D741" t="s">
        <v>369</v>
      </c>
      <c r="E741" t="s">
        <v>433</v>
      </c>
      <c r="F741" t="s">
        <v>487</v>
      </c>
      <c r="G741">
        <v>4960</v>
      </c>
      <c r="H741">
        <v>1.29</v>
      </c>
      <c r="I741">
        <v>6398.4</v>
      </c>
      <c r="J741">
        <v>0.83</v>
      </c>
      <c r="K741">
        <v>4116.8</v>
      </c>
      <c r="L741">
        <v>2281.6</v>
      </c>
    </row>
    <row r="742" spans="1:12" x14ac:dyDescent="0.25">
      <c r="A742">
        <v>741</v>
      </c>
      <c r="B742" t="s">
        <v>207</v>
      </c>
      <c r="C742" t="s">
        <v>364</v>
      </c>
      <c r="D742" t="s">
        <v>367</v>
      </c>
      <c r="E742" t="s">
        <v>409</v>
      </c>
      <c r="F742" t="s">
        <v>479</v>
      </c>
      <c r="G742">
        <v>4292</v>
      </c>
      <c r="H742">
        <v>1.03</v>
      </c>
      <c r="I742">
        <v>4420.76</v>
      </c>
      <c r="J742">
        <v>0.64</v>
      </c>
      <c r="K742">
        <v>2746.88</v>
      </c>
      <c r="L742">
        <v>1673.88</v>
      </c>
    </row>
    <row r="743" spans="1:12" x14ac:dyDescent="0.25">
      <c r="A743">
        <v>742</v>
      </c>
      <c r="B743" t="s">
        <v>256</v>
      </c>
      <c r="C743" t="s">
        <v>365</v>
      </c>
      <c r="D743" t="s">
        <v>368</v>
      </c>
      <c r="E743" t="s">
        <v>413</v>
      </c>
      <c r="F743" t="s">
        <v>486</v>
      </c>
      <c r="G743">
        <v>1390</v>
      </c>
      <c r="H743">
        <v>1.28</v>
      </c>
      <c r="I743">
        <v>1779.2</v>
      </c>
      <c r="J743">
        <v>0.96</v>
      </c>
      <c r="K743">
        <v>1334.4</v>
      </c>
      <c r="L743">
        <v>444.8</v>
      </c>
    </row>
    <row r="744" spans="1:12" x14ac:dyDescent="0.25">
      <c r="A744">
        <v>743</v>
      </c>
      <c r="B744" t="s">
        <v>79</v>
      </c>
      <c r="C744" t="s">
        <v>364</v>
      </c>
      <c r="D744" t="s">
        <v>370</v>
      </c>
      <c r="E744" t="s">
        <v>431</v>
      </c>
      <c r="F744" t="s">
        <v>478</v>
      </c>
      <c r="G744">
        <v>1241</v>
      </c>
      <c r="H744">
        <v>0.95</v>
      </c>
      <c r="I744">
        <v>1178.95</v>
      </c>
      <c r="J744">
        <v>0.6</v>
      </c>
      <c r="K744">
        <v>744.6</v>
      </c>
      <c r="L744">
        <v>434.35</v>
      </c>
    </row>
    <row r="745" spans="1:12" x14ac:dyDescent="0.25">
      <c r="A745">
        <v>744</v>
      </c>
      <c r="B745" t="s">
        <v>343</v>
      </c>
      <c r="C745" t="s">
        <v>366</v>
      </c>
      <c r="D745" t="s">
        <v>367</v>
      </c>
      <c r="E745" t="s">
        <v>389</v>
      </c>
      <c r="F745" t="s">
        <v>474</v>
      </c>
      <c r="G745">
        <v>4210</v>
      </c>
      <c r="H745">
        <v>1.17</v>
      </c>
      <c r="I745">
        <v>4925.7</v>
      </c>
      <c r="J745">
        <v>0.82</v>
      </c>
      <c r="K745">
        <v>3452.2</v>
      </c>
      <c r="L745">
        <v>1473.5</v>
      </c>
    </row>
    <row r="746" spans="1:12" x14ac:dyDescent="0.25">
      <c r="A746">
        <v>745</v>
      </c>
      <c r="B746" t="s">
        <v>278</v>
      </c>
      <c r="C746" t="s">
        <v>366</v>
      </c>
      <c r="D746" t="s">
        <v>369</v>
      </c>
      <c r="E746" t="s">
        <v>439</v>
      </c>
      <c r="F746" t="s">
        <v>487</v>
      </c>
      <c r="G746">
        <v>2955</v>
      </c>
      <c r="H746">
        <v>1.2</v>
      </c>
      <c r="I746">
        <v>3546</v>
      </c>
      <c r="J746">
        <v>0.99</v>
      </c>
      <c r="K746">
        <v>2925.45</v>
      </c>
      <c r="L746">
        <v>620.54999999999995</v>
      </c>
    </row>
    <row r="747" spans="1:12" x14ac:dyDescent="0.25">
      <c r="A747">
        <v>746</v>
      </c>
      <c r="B747" t="s">
        <v>104</v>
      </c>
      <c r="C747" t="s">
        <v>365</v>
      </c>
      <c r="D747" t="s">
        <v>369</v>
      </c>
      <c r="E747" t="s">
        <v>437</v>
      </c>
      <c r="F747" t="s">
        <v>479</v>
      </c>
      <c r="G747">
        <v>566</v>
      </c>
      <c r="H747">
        <v>1.23</v>
      </c>
      <c r="I747">
        <v>696.18</v>
      </c>
      <c r="J747">
        <v>0.89</v>
      </c>
      <c r="K747">
        <v>503.74</v>
      </c>
      <c r="L747">
        <v>192.44</v>
      </c>
    </row>
    <row r="748" spans="1:12" x14ac:dyDescent="0.25">
      <c r="A748">
        <v>747</v>
      </c>
      <c r="B748" t="s">
        <v>63</v>
      </c>
      <c r="C748" t="s">
        <v>363</v>
      </c>
      <c r="D748" t="s">
        <v>370</v>
      </c>
      <c r="E748" t="s">
        <v>466</v>
      </c>
      <c r="F748" t="s">
        <v>476</v>
      </c>
      <c r="G748">
        <v>935</v>
      </c>
      <c r="H748">
        <v>0.8</v>
      </c>
      <c r="I748">
        <v>748</v>
      </c>
      <c r="J748">
        <v>0.59</v>
      </c>
      <c r="K748">
        <v>551.65</v>
      </c>
      <c r="L748">
        <v>196.35</v>
      </c>
    </row>
    <row r="749" spans="1:12" x14ac:dyDescent="0.25">
      <c r="A749">
        <v>748</v>
      </c>
      <c r="B749" t="s">
        <v>306</v>
      </c>
      <c r="C749" t="s">
        <v>365</v>
      </c>
      <c r="D749" t="s">
        <v>367</v>
      </c>
      <c r="E749" t="s">
        <v>435</v>
      </c>
      <c r="F749" t="s">
        <v>477</v>
      </c>
      <c r="G749">
        <v>4036</v>
      </c>
      <c r="H749">
        <v>1.29</v>
      </c>
      <c r="I749">
        <v>5206.4399999999996</v>
      </c>
      <c r="J749">
        <v>0.9</v>
      </c>
      <c r="K749">
        <v>3632.4</v>
      </c>
      <c r="L749">
        <v>1574.04</v>
      </c>
    </row>
    <row r="750" spans="1:12" x14ac:dyDescent="0.25">
      <c r="A750">
        <v>749</v>
      </c>
      <c r="B750" t="s">
        <v>335</v>
      </c>
      <c r="C750" t="s">
        <v>364</v>
      </c>
      <c r="D750" t="s">
        <v>369</v>
      </c>
      <c r="E750" t="s">
        <v>464</v>
      </c>
      <c r="F750" t="s">
        <v>481</v>
      </c>
      <c r="G750">
        <v>4965</v>
      </c>
      <c r="H750">
        <v>0.95</v>
      </c>
      <c r="I750">
        <v>4716.75</v>
      </c>
      <c r="J750">
        <v>0.61</v>
      </c>
      <c r="K750">
        <v>3028.65</v>
      </c>
      <c r="L750">
        <v>1688.1</v>
      </c>
    </row>
    <row r="751" spans="1:12" x14ac:dyDescent="0.25">
      <c r="A751">
        <v>750</v>
      </c>
      <c r="B751" t="s">
        <v>165</v>
      </c>
      <c r="C751" t="s">
        <v>364</v>
      </c>
      <c r="D751" t="s">
        <v>368</v>
      </c>
      <c r="E751" t="s">
        <v>383</v>
      </c>
      <c r="F751" t="s">
        <v>481</v>
      </c>
      <c r="G751">
        <v>1763</v>
      </c>
      <c r="H751">
        <v>1</v>
      </c>
      <c r="I751">
        <v>1763</v>
      </c>
      <c r="J751">
        <v>0.82</v>
      </c>
      <c r="K751">
        <v>1445.66</v>
      </c>
      <c r="L751">
        <v>317.33999999999997</v>
      </c>
    </row>
    <row r="752" spans="1:12" x14ac:dyDescent="0.25">
      <c r="A752">
        <v>751</v>
      </c>
      <c r="B752" t="s">
        <v>135</v>
      </c>
      <c r="C752" t="s">
        <v>363</v>
      </c>
      <c r="D752" t="s">
        <v>368</v>
      </c>
      <c r="E752" t="s">
        <v>392</v>
      </c>
      <c r="F752" t="s">
        <v>472</v>
      </c>
      <c r="G752">
        <v>1679</v>
      </c>
      <c r="H752">
        <v>1.3</v>
      </c>
      <c r="I752">
        <v>2182.6999999999998</v>
      </c>
      <c r="J752">
        <v>0.94</v>
      </c>
      <c r="K752">
        <v>1578.26</v>
      </c>
      <c r="L752">
        <v>604.44000000000005</v>
      </c>
    </row>
    <row r="753" spans="1:12" x14ac:dyDescent="0.25">
      <c r="A753">
        <v>752</v>
      </c>
      <c r="B753" t="s">
        <v>60</v>
      </c>
      <c r="C753" t="s">
        <v>363</v>
      </c>
      <c r="D753" t="s">
        <v>368</v>
      </c>
      <c r="E753" t="s">
        <v>457</v>
      </c>
      <c r="F753" t="s">
        <v>481</v>
      </c>
      <c r="G753">
        <v>4235</v>
      </c>
      <c r="H753">
        <v>1.43</v>
      </c>
      <c r="I753">
        <v>6056.05</v>
      </c>
      <c r="J753">
        <v>1.1100000000000001</v>
      </c>
      <c r="K753">
        <v>4700.8500000000004</v>
      </c>
      <c r="L753">
        <v>1355.2</v>
      </c>
    </row>
    <row r="754" spans="1:12" x14ac:dyDescent="0.25">
      <c r="A754">
        <v>753</v>
      </c>
      <c r="B754" t="s">
        <v>92</v>
      </c>
      <c r="C754" t="s">
        <v>364</v>
      </c>
      <c r="D754" t="s">
        <v>368</v>
      </c>
      <c r="E754" t="s">
        <v>417</v>
      </c>
      <c r="F754" t="s">
        <v>481</v>
      </c>
      <c r="G754">
        <v>4186</v>
      </c>
      <c r="H754">
        <v>1.07</v>
      </c>
      <c r="I754">
        <v>4479.0200000000004</v>
      </c>
      <c r="J754">
        <v>0.7</v>
      </c>
      <c r="K754">
        <v>2930.2</v>
      </c>
      <c r="L754">
        <v>1548.82</v>
      </c>
    </row>
    <row r="755" spans="1:12" x14ac:dyDescent="0.25">
      <c r="A755">
        <v>754</v>
      </c>
      <c r="B755" t="s">
        <v>92</v>
      </c>
      <c r="C755" t="s">
        <v>364</v>
      </c>
      <c r="D755" t="s">
        <v>367</v>
      </c>
      <c r="E755" t="s">
        <v>469</v>
      </c>
      <c r="F755" t="s">
        <v>477</v>
      </c>
      <c r="G755">
        <v>4610</v>
      </c>
      <c r="H755">
        <v>0.99</v>
      </c>
      <c r="I755">
        <v>4563.8999999999996</v>
      </c>
      <c r="J755">
        <v>0.82</v>
      </c>
      <c r="K755">
        <v>3780.2</v>
      </c>
      <c r="L755">
        <v>783.7</v>
      </c>
    </row>
    <row r="756" spans="1:12" x14ac:dyDescent="0.25">
      <c r="A756">
        <v>755</v>
      </c>
      <c r="B756" t="s">
        <v>278</v>
      </c>
      <c r="C756" t="s">
        <v>363</v>
      </c>
      <c r="D756" t="s">
        <v>370</v>
      </c>
      <c r="E756" t="s">
        <v>372</v>
      </c>
      <c r="F756" t="s">
        <v>479</v>
      </c>
      <c r="G756">
        <v>4458</v>
      </c>
      <c r="H756">
        <v>1.29</v>
      </c>
      <c r="I756">
        <v>5750.82</v>
      </c>
      <c r="J756">
        <v>0.81</v>
      </c>
      <c r="K756">
        <v>3610.98</v>
      </c>
      <c r="L756">
        <v>2139.84</v>
      </c>
    </row>
    <row r="757" spans="1:12" x14ac:dyDescent="0.25">
      <c r="A757">
        <v>756</v>
      </c>
      <c r="B757" t="s">
        <v>291</v>
      </c>
      <c r="C757" t="s">
        <v>366</v>
      </c>
      <c r="D757" t="s">
        <v>367</v>
      </c>
      <c r="E757" t="s">
        <v>469</v>
      </c>
      <c r="F757" t="s">
        <v>490</v>
      </c>
      <c r="G757">
        <v>2789</v>
      </c>
      <c r="H757">
        <v>1.1299999999999999</v>
      </c>
      <c r="I757">
        <v>3151.57</v>
      </c>
      <c r="J757">
        <v>0.7</v>
      </c>
      <c r="K757">
        <v>1952.3</v>
      </c>
      <c r="L757">
        <v>1199.27</v>
      </c>
    </row>
    <row r="758" spans="1:12" x14ac:dyDescent="0.25">
      <c r="A758">
        <v>757</v>
      </c>
      <c r="B758" t="s">
        <v>68</v>
      </c>
      <c r="C758" t="s">
        <v>366</v>
      </c>
      <c r="D758" t="s">
        <v>367</v>
      </c>
      <c r="E758" t="s">
        <v>393</v>
      </c>
      <c r="F758" t="s">
        <v>486</v>
      </c>
      <c r="G758">
        <v>4917</v>
      </c>
      <c r="H758">
        <v>1.36</v>
      </c>
      <c r="I758">
        <v>6687.12</v>
      </c>
      <c r="J758">
        <v>0.92</v>
      </c>
      <c r="K758">
        <v>4523.6400000000003</v>
      </c>
      <c r="L758">
        <v>2163.48</v>
      </c>
    </row>
    <row r="759" spans="1:12" x14ac:dyDescent="0.25">
      <c r="A759">
        <v>758</v>
      </c>
      <c r="B759" t="s">
        <v>229</v>
      </c>
      <c r="C759" t="s">
        <v>363</v>
      </c>
      <c r="D759" t="s">
        <v>370</v>
      </c>
      <c r="E759" t="s">
        <v>393</v>
      </c>
      <c r="F759" t="s">
        <v>473</v>
      </c>
      <c r="G759">
        <v>4699</v>
      </c>
      <c r="H759">
        <v>1.43</v>
      </c>
      <c r="I759">
        <v>6719.57</v>
      </c>
      <c r="J759">
        <v>1.06</v>
      </c>
      <c r="K759">
        <v>4980.9399999999996</v>
      </c>
      <c r="L759">
        <v>1738.63</v>
      </c>
    </row>
    <row r="760" spans="1:12" x14ac:dyDescent="0.25">
      <c r="A760">
        <v>759</v>
      </c>
      <c r="B760" t="s">
        <v>33</v>
      </c>
      <c r="C760" t="s">
        <v>365</v>
      </c>
      <c r="D760" t="s">
        <v>369</v>
      </c>
      <c r="E760" t="s">
        <v>386</v>
      </c>
      <c r="F760" t="s">
        <v>482</v>
      </c>
      <c r="G760">
        <v>1872</v>
      </c>
      <c r="H760">
        <v>0.82</v>
      </c>
      <c r="I760">
        <v>1535.04</v>
      </c>
      <c r="J760">
        <v>0.68</v>
      </c>
      <c r="K760">
        <v>1272.96</v>
      </c>
      <c r="L760">
        <v>262.08</v>
      </c>
    </row>
    <row r="761" spans="1:12" x14ac:dyDescent="0.25">
      <c r="A761">
        <v>760</v>
      </c>
      <c r="B761" t="s">
        <v>104</v>
      </c>
      <c r="C761" t="s">
        <v>363</v>
      </c>
      <c r="D761" t="s">
        <v>370</v>
      </c>
      <c r="E761" t="s">
        <v>384</v>
      </c>
      <c r="F761" t="s">
        <v>483</v>
      </c>
      <c r="G761">
        <v>1885</v>
      </c>
      <c r="H761">
        <v>1.2</v>
      </c>
      <c r="I761">
        <v>2262</v>
      </c>
      <c r="J761">
        <v>0.92</v>
      </c>
      <c r="K761">
        <v>1734.2</v>
      </c>
      <c r="L761">
        <v>527.79999999999995</v>
      </c>
    </row>
    <row r="762" spans="1:12" x14ac:dyDescent="0.25">
      <c r="A762">
        <v>761</v>
      </c>
      <c r="B762" t="s">
        <v>297</v>
      </c>
      <c r="C762" t="s">
        <v>365</v>
      </c>
      <c r="D762" t="s">
        <v>367</v>
      </c>
      <c r="E762" t="s">
        <v>387</v>
      </c>
      <c r="F762" t="s">
        <v>486</v>
      </c>
      <c r="G762">
        <v>1538</v>
      </c>
      <c r="H762">
        <v>1.1499999999999999</v>
      </c>
      <c r="I762">
        <v>1768.7</v>
      </c>
      <c r="J762">
        <v>0.93</v>
      </c>
      <c r="K762">
        <v>1430.34</v>
      </c>
      <c r="L762">
        <v>338.36</v>
      </c>
    </row>
    <row r="763" spans="1:12" x14ac:dyDescent="0.25">
      <c r="A763">
        <v>762</v>
      </c>
      <c r="B763" t="s">
        <v>58</v>
      </c>
      <c r="C763" t="s">
        <v>366</v>
      </c>
      <c r="D763" t="s">
        <v>370</v>
      </c>
      <c r="E763" t="s">
        <v>422</v>
      </c>
      <c r="F763" t="s">
        <v>471</v>
      </c>
      <c r="G763">
        <v>2754</v>
      </c>
      <c r="H763">
        <v>1.4</v>
      </c>
      <c r="I763">
        <v>3855.6</v>
      </c>
      <c r="J763">
        <v>0.84</v>
      </c>
      <c r="K763">
        <v>2313.36</v>
      </c>
      <c r="L763">
        <v>1542.24</v>
      </c>
    </row>
    <row r="764" spans="1:12" x14ac:dyDescent="0.25">
      <c r="A764">
        <v>763</v>
      </c>
      <c r="B764" t="s">
        <v>212</v>
      </c>
      <c r="C764" t="s">
        <v>366</v>
      </c>
      <c r="D764" t="s">
        <v>368</v>
      </c>
      <c r="E764" t="s">
        <v>389</v>
      </c>
      <c r="F764" t="s">
        <v>473</v>
      </c>
      <c r="G764">
        <v>3529</v>
      </c>
      <c r="H764">
        <v>1.37</v>
      </c>
      <c r="I764">
        <v>4834.7299999999996</v>
      </c>
      <c r="J764">
        <v>0.91</v>
      </c>
      <c r="K764">
        <v>3211.39</v>
      </c>
      <c r="L764">
        <v>1623.34</v>
      </c>
    </row>
    <row r="765" spans="1:12" x14ac:dyDescent="0.25">
      <c r="A765">
        <v>764</v>
      </c>
      <c r="B765" t="s">
        <v>82</v>
      </c>
      <c r="C765" t="s">
        <v>364</v>
      </c>
      <c r="D765" t="s">
        <v>368</v>
      </c>
      <c r="E765" t="s">
        <v>401</v>
      </c>
      <c r="F765" t="s">
        <v>490</v>
      </c>
      <c r="G765">
        <v>771</v>
      </c>
      <c r="H765">
        <v>1.04</v>
      </c>
      <c r="I765">
        <v>801.84</v>
      </c>
      <c r="J765">
        <v>0.65</v>
      </c>
      <c r="K765">
        <v>501.15</v>
      </c>
      <c r="L765">
        <v>300.69</v>
      </c>
    </row>
    <row r="766" spans="1:12" x14ac:dyDescent="0.25">
      <c r="A766">
        <v>765</v>
      </c>
      <c r="B766" t="s">
        <v>219</v>
      </c>
      <c r="C766" t="s">
        <v>364</v>
      </c>
      <c r="D766" t="s">
        <v>368</v>
      </c>
      <c r="E766" t="s">
        <v>463</v>
      </c>
      <c r="F766" t="s">
        <v>481</v>
      </c>
      <c r="G766">
        <v>3638</v>
      </c>
      <c r="H766">
        <v>0.97</v>
      </c>
      <c r="I766">
        <v>3528.86</v>
      </c>
      <c r="J766">
        <v>0.69</v>
      </c>
      <c r="K766">
        <v>2510.2199999999998</v>
      </c>
      <c r="L766">
        <v>1018.64</v>
      </c>
    </row>
    <row r="767" spans="1:12" x14ac:dyDescent="0.25">
      <c r="A767">
        <v>766</v>
      </c>
      <c r="B767" t="s">
        <v>223</v>
      </c>
      <c r="C767" t="s">
        <v>366</v>
      </c>
      <c r="D767" t="s">
        <v>368</v>
      </c>
      <c r="E767" t="s">
        <v>415</v>
      </c>
      <c r="F767" t="s">
        <v>475</v>
      </c>
      <c r="G767">
        <v>945</v>
      </c>
      <c r="H767">
        <v>1.25</v>
      </c>
      <c r="I767">
        <v>1181.25</v>
      </c>
      <c r="J767">
        <v>0.99</v>
      </c>
      <c r="K767">
        <v>935.55</v>
      </c>
      <c r="L767">
        <v>245.7</v>
      </c>
    </row>
    <row r="768" spans="1:12" x14ac:dyDescent="0.25">
      <c r="A768">
        <v>767</v>
      </c>
      <c r="B768" t="s">
        <v>339</v>
      </c>
      <c r="C768" t="s">
        <v>366</v>
      </c>
      <c r="D768" t="s">
        <v>367</v>
      </c>
      <c r="E768" t="s">
        <v>394</v>
      </c>
      <c r="F768" t="s">
        <v>484</v>
      </c>
      <c r="G768">
        <v>4401</v>
      </c>
      <c r="H768">
        <v>1.01</v>
      </c>
      <c r="I768">
        <v>4445.01</v>
      </c>
      <c r="J768">
        <v>0.79</v>
      </c>
      <c r="K768">
        <v>3476.79</v>
      </c>
      <c r="L768">
        <v>968.22</v>
      </c>
    </row>
    <row r="769" spans="1:12" x14ac:dyDescent="0.25">
      <c r="A769">
        <v>768</v>
      </c>
      <c r="B769" t="s">
        <v>344</v>
      </c>
      <c r="C769" t="s">
        <v>364</v>
      </c>
      <c r="D769" t="s">
        <v>368</v>
      </c>
      <c r="E769" t="s">
        <v>411</v>
      </c>
      <c r="F769" t="s">
        <v>484</v>
      </c>
      <c r="G769">
        <v>4387</v>
      </c>
      <c r="H769">
        <v>0.98</v>
      </c>
      <c r="I769">
        <v>4299.26</v>
      </c>
      <c r="J769">
        <v>0.72</v>
      </c>
      <c r="K769">
        <v>3158.64</v>
      </c>
      <c r="L769">
        <v>1140.6199999999999</v>
      </c>
    </row>
    <row r="770" spans="1:12" x14ac:dyDescent="0.25">
      <c r="A770">
        <v>769</v>
      </c>
      <c r="B770" t="s">
        <v>260</v>
      </c>
      <c r="C770" t="s">
        <v>365</v>
      </c>
      <c r="D770" t="s">
        <v>367</v>
      </c>
      <c r="E770" t="s">
        <v>434</v>
      </c>
      <c r="F770" t="s">
        <v>484</v>
      </c>
      <c r="G770">
        <v>3086</v>
      </c>
      <c r="H770">
        <v>1.47</v>
      </c>
      <c r="I770">
        <v>4536.42</v>
      </c>
      <c r="J770">
        <v>1.1299999999999999</v>
      </c>
      <c r="K770">
        <v>3487.18</v>
      </c>
      <c r="L770">
        <v>1049.24</v>
      </c>
    </row>
    <row r="771" spans="1:12" x14ac:dyDescent="0.25">
      <c r="A771">
        <v>770</v>
      </c>
      <c r="B771" t="s">
        <v>85</v>
      </c>
      <c r="C771" t="s">
        <v>365</v>
      </c>
      <c r="D771" t="s">
        <v>367</v>
      </c>
      <c r="E771" t="s">
        <v>416</v>
      </c>
      <c r="F771" t="s">
        <v>489</v>
      </c>
      <c r="G771">
        <v>2733</v>
      </c>
      <c r="H771">
        <v>1.03</v>
      </c>
      <c r="I771">
        <v>2814.99</v>
      </c>
      <c r="J771">
        <v>0.69</v>
      </c>
      <c r="K771">
        <v>1885.77</v>
      </c>
      <c r="L771">
        <v>929.22</v>
      </c>
    </row>
    <row r="772" spans="1:12" x14ac:dyDescent="0.25">
      <c r="A772">
        <v>771</v>
      </c>
      <c r="B772" t="s">
        <v>330</v>
      </c>
      <c r="C772" t="s">
        <v>364</v>
      </c>
      <c r="D772" t="s">
        <v>370</v>
      </c>
      <c r="E772" t="s">
        <v>394</v>
      </c>
      <c r="F772" t="s">
        <v>477</v>
      </c>
      <c r="G772">
        <v>2096</v>
      </c>
      <c r="H772">
        <v>1.1599999999999999</v>
      </c>
      <c r="I772">
        <v>2431.36</v>
      </c>
      <c r="J772">
        <v>0.89</v>
      </c>
      <c r="K772">
        <v>1865.44</v>
      </c>
      <c r="L772">
        <v>565.91999999999996</v>
      </c>
    </row>
    <row r="773" spans="1:12" x14ac:dyDescent="0.25">
      <c r="A773">
        <v>772</v>
      </c>
      <c r="B773" t="s">
        <v>121</v>
      </c>
      <c r="C773" t="s">
        <v>363</v>
      </c>
      <c r="D773" t="s">
        <v>370</v>
      </c>
      <c r="E773" t="s">
        <v>414</v>
      </c>
      <c r="F773" t="s">
        <v>472</v>
      </c>
      <c r="G773">
        <v>1056</v>
      </c>
      <c r="H773">
        <v>0.81</v>
      </c>
      <c r="I773">
        <v>855.36</v>
      </c>
      <c r="J773">
        <v>0.51</v>
      </c>
      <c r="K773">
        <v>538.55999999999995</v>
      </c>
      <c r="L773">
        <v>316.8</v>
      </c>
    </row>
    <row r="774" spans="1:12" x14ac:dyDescent="0.25">
      <c r="A774">
        <v>773</v>
      </c>
      <c r="B774" t="s">
        <v>279</v>
      </c>
      <c r="C774" t="s">
        <v>365</v>
      </c>
      <c r="D774" t="s">
        <v>369</v>
      </c>
      <c r="E774" t="s">
        <v>373</v>
      </c>
      <c r="F774" t="s">
        <v>482</v>
      </c>
      <c r="G774">
        <v>2563</v>
      </c>
      <c r="H774">
        <v>0.94</v>
      </c>
      <c r="I774">
        <v>2409.2199999999998</v>
      </c>
      <c r="J774">
        <v>0.56999999999999995</v>
      </c>
      <c r="K774">
        <v>1460.91</v>
      </c>
      <c r="L774">
        <v>948.31</v>
      </c>
    </row>
    <row r="775" spans="1:12" x14ac:dyDescent="0.25">
      <c r="A775">
        <v>774</v>
      </c>
      <c r="B775" t="s">
        <v>16</v>
      </c>
      <c r="C775" t="s">
        <v>366</v>
      </c>
      <c r="D775" t="s">
        <v>367</v>
      </c>
      <c r="E775" t="s">
        <v>448</v>
      </c>
      <c r="F775" t="s">
        <v>488</v>
      </c>
      <c r="G775">
        <v>1482</v>
      </c>
      <c r="H775">
        <v>0.86</v>
      </c>
      <c r="I775">
        <v>1274.52</v>
      </c>
      <c r="J775">
        <v>0.65</v>
      </c>
      <c r="K775">
        <v>963.3</v>
      </c>
      <c r="L775">
        <v>311.22000000000003</v>
      </c>
    </row>
    <row r="776" spans="1:12" x14ac:dyDescent="0.25">
      <c r="A776">
        <v>775</v>
      </c>
      <c r="B776" t="s">
        <v>200</v>
      </c>
      <c r="C776" t="s">
        <v>363</v>
      </c>
      <c r="D776" t="s">
        <v>368</v>
      </c>
      <c r="E776" t="s">
        <v>429</v>
      </c>
      <c r="F776" t="s">
        <v>480</v>
      </c>
      <c r="G776">
        <v>2575</v>
      </c>
      <c r="H776">
        <v>1.01</v>
      </c>
      <c r="I776">
        <v>2600.75</v>
      </c>
      <c r="J776">
        <v>0.77</v>
      </c>
      <c r="K776">
        <v>1982.75</v>
      </c>
      <c r="L776">
        <v>618</v>
      </c>
    </row>
    <row r="777" spans="1:12" x14ac:dyDescent="0.25">
      <c r="A777">
        <v>776</v>
      </c>
      <c r="B777" t="s">
        <v>84</v>
      </c>
      <c r="C777" t="s">
        <v>365</v>
      </c>
      <c r="D777" t="s">
        <v>369</v>
      </c>
      <c r="E777" t="s">
        <v>380</v>
      </c>
      <c r="F777" t="s">
        <v>481</v>
      </c>
      <c r="G777">
        <v>3149</v>
      </c>
      <c r="H777">
        <v>0.98</v>
      </c>
      <c r="I777">
        <v>3086.02</v>
      </c>
      <c r="J777">
        <v>0.78</v>
      </c>
      <c r="K777">
        <v>2456.2199999999998</v>
      </c>
      <c r="L777">
        <v>629.79999999999995</v>
      </c>
    </row>
    <row r="778" spans="1:12" x14ac:dyDescent="0.25">
      <c r="A778">
        <v>777</v>
      </c>
      <c r="B778" t="s">
        <v>94</v>
      </c>
      <c r="C778" t="s">
        <v>364</v>
      </c>
      <c r="D778" t="s">
        <v>367</v>
      </c>
      <c r="E778" t="s">
        <v>440</v>
      </c>
      <c r="F778" t="s">
        <v>487</v>
      </c>
      <c r="G778">
        <v>992</v>
      </c>
      <c r="H778">
        <v>0.98</v>
      </c>
      <c r="I778">
        <v>972.16</v>
      </c>
      <c r="J778">
        <v>0.79</v>
      </c>
      <c r="K778">
        <v>783.68</v>
      </c>
      <c r="L778">
        <v>188.48</v>
      </c>
    </row>
    <row r="779" spans="1:12" x14ac:dyDescent="0.25">
      <c r="A779">
        <v>778</v>
      </c>
      <c r="B779" t="s">
        <v>345</v>
      </c>
      <c r="C779" t="s">
        <v>363</v>
      </c>
      <c r="D779" t="s">
        <v>369</v>
      </c>
      <c r="E779" t="s">
        <v>387</v>
      </c>
      <c r="F779" t="s">
        <v>485</v>
      </c>
      <c r="G779">
        <v>3716</v>
      </c>
      <c r="H779">
        <v>0.92</v>
      </c>
      <c r="I779">
        <v>3418.72</v>
      </c>
      <c r="J779">
        <v>0.67</v>
      </c>
      <c r="K779">
        <v>2489.7199999999998</v>
      </c>
      <c r="L779">
        <v>929</v>
      </c>
    </row>
    <row r="780" spans="1:12" x14ac:dyDescent="0.25">
      <c r="A780">
        <v>779</v>
      </c>
      <c r="B780" t="s">
        <v>282</v>
      </c>
      <c r="C780" t="s">
        <v>366</v>
      </c>
      <c r="D780" t="s">
        <v>369</v>
      </c>
      <c r="E780" t="s">
        <v>422</v>
      </c>
      <c r="F780" t="s">
        <v>488</v>
      </c>
      <c r="G780">
        <v>4117</v>
      </c>
      <c r="H780">
        <v>1.3</v>
      </c>
      <c r="I780">
        <v>5352.1</v>
      </c>
      <c r="J780">
        <v>0.81</v>
      </c>
      <c r="K780">
        <v>3334.77</v>
      </c>
      <c r="L780">
        <v>2017.33</v>
      </c>
    </row>
    <row r="781" spans="1:12" x14ac:dyDescent="0.25">
      <c r="A781">
        <v>780</v>
      </c>
      <c r="B781" t="s">
        <v>346</v>
      </c>
      <c r="C781" t="s">
        <v>365</v>
      </c>
      <c r="D781" t="s">
        <v>367</v>
      </c>
      <c r="E781" t="s">
        <v>427</v>
      </c>
      <c r="F781" t="s">
        <v>473</v>
      </c>
      <c r="G781">
        <v>653</v>
      </c>
      <c r="H781">
        <v>1.43</v>
      </c>
      <c r="I781">
        <v>933.79</v>
      </c>
      <c r="J781">
        <v>0.91</v>
      </c>
      <c r="K781">
        <v>594.23</v>
      </c>
      <c r="L781">
        <v>339.56</v>
      </c>
    </row>
    <row r="782" spans="1:12" x14ac:dyDescent="0.25">
      <c r="A782">
        <v>781</v>
      </c>
      <c r="B782" t="s">
        <v>12</v>
      </c>
      <c r="C782" t="s">
        <v>363</v>
      </c>
      <c r="D782" t="s">
        <v>367</v>
      </c>
      <c r="E782" t="s">
        <v>403</v>
      </c>
      <c r="F782" t="s">
        <v>484</v>
      </c>
      <c r="G782">
        <v>2682</v>
      </c>
      <c r="H782">
        <v>0.91</v>
      </c>
      <c r="I782">
        <v>2440.62</v>
      </c>
      <c r="J782">
        <v>0.62</v>
      </c>
      <c r="K782">
        <v>1662.84</v>
      </c>
      <c r="L782">
        <v>777.78</v>
      </c>
    </row>
    <row r="783" spans="1:12" x14ac:dyDescent="0.25">
      <c r="A783">
        <v>782</v>
      </c>
      <c r="B783" t="s">
        <v>258</v>
      </c>
      <c r="C783" t="s">
        <v>364</v>
      </c>
      <c r="D783" t="s">
        <v>367</v>
      </c>
      <c r="E783" t="s">
        <v>468</v>
      </c>
      <c r="F783" t="s">
        <v>481</v>
      </c>
      <c r="G783">
        <v>3808</v>
      </c>
      <c r="H783">
        <v>1.39</v>
      </c>
      <c r="I783">
        <v>5293.12</v>
      </c>
      <c r="J783">
        <v>1.1100000000000001</v>
      </c>
      <c r="K783">
        <v>4226.88</v>
      </c>
      <c r="L783">
        <v>1066.24</v>
      </c>
    </row>
    <row r="784" spans="1:12" x14ac:dyDescent="0.25">
      <c r="A784">
        <v>783</v>
      </c>
      <c r="B784" t="s">
        <v>29</v>
      </c>
      <c r="C784" t="s">
        <v>363</v>
      </c>
      <c r="D784" t="s">
        <v>368</v>
      </c>
      <c r="E784" t="s">
        <v>440</v>
      </c>
      <c r="F784" t="s">
        <v>483</v>
      </c>
      <c r="G784">
        <v>1492</v>
      </c>
      <c r="H784">
        <v>1.2</v>
      </c>
      <c r="I784">
        <v>1790.4</v>
      </c>
      <c r="J784">
        <v>1</v>
      </c>
      <c r="K784">
        <v>1492</v>
      </c>
      <c r="L784">
        <v>298.39999999999998</v>
      </c>
    </row>
    <row r="785" spans="1:12" x14ac:dyDescent="0.25">
      <c r="A785">
        <v>784</v>
      </c>
      <c r="B785" t="s">
        <v>306</v>
      </c>
      <c r="C785" t="s">
        <v>365</v>
      </c>
      <c r="D785" t="s">
        <v>370</v>
      </c>
      <c r="E785" t="s">
        <v>413</v>
      </c>
      <c r="F785" t="s">
        <v>478</v>
      </c>
      <c r="G785">
        <v>1242</v>
      </c>
      <c r="H785">
        <v>1.06</v>
      </c>
      <c r="I785">
        <v>1316.52</v>
      </c>
      <c r="J785">
        <v>0.86</v>
      </c>
      <c r="K785">
        <v>1068.1199999999999</v>
      </c>
      <c r="L785">
        <v>248.4</v>
      </c>
    </row>
    <row r="786" spans="1:12" x14ac:dyDescent="0.25">
      <c r="A786">
        <v>785</v>
      </c>
      <c r="B786" t="s">
        <v>315</v>
      </c>
      <c r="C786" t="s">
        <v>364</v>
      </c>
      <c r="D786" t="s">
        <v>367</v>
      </c>
      <c r="E786" t="s">
        <v>424</v>
      </c>
      <c r="F786" t="s">
        <v>482</v>
      </c>
      <c r="G786">
        <v>2163</v>
      </c>
      <c r="H786">
        <v>0.92</v>
      </c>
      <c r="I786">
        <v>1989.96</v>
      </c>
      <c r="J786">
        <v>0.56000000000000005</v>
      </c>
      <c r="K786">
        <v>1211.28</v>
      </c>
      <c r="L786">
        <v>778.68</v>
      </c>
    </row>
    <row r="787" spans="1:12" x14ac:dyDescent="0.25">
      <c r="A787">
        <v>786</v>
      </c>
      <c r="B787" t="s">
        <v>179</v>
      </c>
      <c r="C787" t="s">
        <v>365</v>
      </c>
      <c r="D787" t="s">
        <v>368</v>
      </c>
      <c r="E787" t="s">
        <v>429</v>
      </c>
      <c r="F787" t="s">
        <v>484</v>
      </c>
      <c r="G787">
        <v>1374</v>
      </c>
      <c r="H787">
        <v>1.24</v>
      </c>
      <c r="I787">
        <v>1703.76</v>
      </c>
      <c r="J787">
        <v>0.86</v>
      </c>
      <c r="K787">
        <v>1181.6400000000001</v>
      </c>
      <c r="L787">
        <v>522.12</v>
      </c>
    </row>
    <row r="788" spans="1:12" x14ac:dyDescent="0.25">
      <c r="A788">
        <v>787</v>
      </c>
      <c r="B788" t="s">
        <v>241</v>
      </c>
      <c r="C788" t="s">
        <v>366</v>
      </c>
      <c r="D788" t="s">
        <v>369</v>
      </c>
      <c r="E788" t="s">
        <v>457</v>
      </c>
      <c r="F788" t="s">
        <v>478</v>
      </c>
      <c r="G788">
        <v>2081</v>
      </c>
      <c r="H788">
        <v>0.82</v>
      </c>
      <c r="I788">
        <v>1706.42</v>
      </c>
      <c r="J788">
        <v>0.7</v>
      </c>
      <c r="K788">
        <v>1456.7</v>
      </c>
      <c r="L788">
        <v>249.72</v>
      </c>
    </row>
    <row r="789" spans="1:12" x14ac:dyDescent="0.25">
      <c r="A789">
        <v>788</v>
      </c>
      <c r="B789" t="s">
        <v>246</v>
      </c>
      <c r="C789" t="s">
        <v>364</v>
      </c>
      <c r="D789" t="s">
        <v>369</v>
      </c>
      <c r="E789" t="s">
        <v>458</v>
      </c>
      <c r="F789" t="s">
        <v>476</v>
      </c>
      <c r="G789">
        <v>3020</v>
      </c>
      <c r="H789">
        <v>1.1499999999999999</v>
      </c>
      <c r="I789">
        <v>3473</v>
      </c>
      <c r="J789">
        <v>0.97</v>
      </c>
      <c r="K789">
        <v>2929.4</v>
      </c>
      <c r="L789">
        <v>543.6</v>
      </c>
    </row>
    <row r="790" spans="1:12" x14ac:dyDescent="0.25">
      <c r="A790">
        <v>789</v>
      </c>
      <c r="B790" t="s">
        <v>154</v>
      </c>
      <c r="C790" t="s">
        <v>363</v>
      </c>
      <c r="D790" t="s">
        <v>367</v>
      </c>
      <c r="E790" t="s">
        <v>425</v>
      </c>
      <c r="F790" t="s">
        <v>478</v>
      </c>
      <c r="G790">
        <v>3266</v>
      </c>
      <c r="H790">
        <v>1.35</v>
      </c>
      <c r="I790">
        <v>4409.1000000000004</v>
      </c>
      <c r="J790">
        <v>0.82</v>
      </c>
      <c r="K790">
        <v>2678.12</v>
      </c>
      <c r="L790">
        <v>1730.98</v>
      </c>
    </row>
    <row r="791" spans="1:12" x14ac:dyDescent="0.25">
      <c r="A791">
        <v>790</v>
      </c>
      <c r="B791" t="s">
        <v>304</v>
      </c>
      <c r="C791" t="s">
        <v>364</v>
      </c>
      <c r="D791" t="s">
        <v>368</v>
      </c>
      <c r="E791" t="s">
        <v>414</v>
      </c>
      <c r="F791" t="s">
        <v>476</v>
      </c>
      <c r="G791">
        <v>1720</v>
      </c>
      <c r="H791">
        <v>1.32</v>
      </c>
      <c r="I791">
        <v>2270.4</v>
      </c>
      <c r="J791">
        <v>0.87</v>
      </c>
      <c r="K791">
        <v>1496.4</v>
      </c>
      <c r="L791">
        <v>774</v>
      </c>
    </row>
    <row r="792" spans="1:12" x14ac:dyDescent="0.25">
      <c r="A792">
        <v>791</v>
      </c>
      <c r="B792" t="s">
        <v>347</v>
      </c>
      <c r="C792" t="s">
        <v>366</v>
      </c>
      <c r="D792" t="s">
        <v>367</v>
      </c>
      <c r="E792" t="s">
        <v>387</v>
      </c>
      <c r="F792" t="s">
        <v>472</v>
      </c>
      <c r="G792">
        <v>4360</v>
      </c>
      <c r="H792">
        <v>1.44</v>
      </c>
      <c r="I792">
        <v>6278.4</v>
      </c>
      <c r="J792">
        <v>1.0900000000000001</v>
      </c>
      <c r="K792">
        <v>4752.3999999999996</v>
      </c>
      <c r="L792">
        <v>1526</v>
      </c>
    </row>
    <row r="793" spans="1:12" x14ac:dyDescent="0.25">
      <c r="A793">
        <v>792</v>
      </c>
      <c r="B793" t="s">
        <v>112</v>
      </c>
      <c r="C793" t="s">
        <v>363</v>
      </c>
      <c r="D793" t="s">
        <v>368</v>
      </c>
      <c r="E793" t="s">
        <v>445</v>
      </c>
      <c r="F793" t="s">
        <v>478</v>
      </c>
      <c r="G793">
        <v>3017</v>
      </c>
      <c r="H793">
        <v>1.37</v>
      </c>
      <c r="I793">
        <v>4133.29</v>
      </c>
      <c r="J793">
        <v>0.86</v>
      </c>
      <c r="K793">
        <v>2594.62</v>
      </c>
      <c r="L793">
        <v>1538.67</v>
      </c>
    </row>
    <row r="794" spans="1:12" x14ac:dyDescent="0.25">
      <c r="A794">
        <v>793</v>
      </c>
      <c r="B794" t="s">
        <v>68</v>
      </c>
      <c r="C794" t="s">
        <v>363</v>
      </c>
      <c r="D794" t="s">
        <v>368</v>
      </c>
      <c r="E794" t="s">
        <v>450</v>
      </c>
      <c r="F794" t="s">
        <v>488</v>
      </c>
      <c r="G794">
        <v>4572</v>
      </c>
      <c r="H794">
        <v>1.22</v>
      </c>
      <c r="I794">
        <v>5577.84</v>
      </c>
      <c r="J794">
        <v>0.92</v>
      </c>
      <c r="K794">
        <v>4206.24</v>
      </c>
      <c r="L794">
        <v>1371.6</v>
      </c>
    </row>
    <row r="795" spans="1:12" x14ac:dyDescent="0.25">
      <c r="A795">
        <v>794</v>
      </c>
      <c r="B795" t="s">
        <v>74</v>
      </c>
      <c r="C795" t="s">
        <v>364</v>
      </c>
      <c r="D795" t="s">
        <v>368</v>
      </c>
      <c r="E795" t="s">
        <v>425</v>
      </c>
      <c r="F795" t="s">
        <v>484</v>
      </c>
      <c r="G795">
        <v>3156</v>
      </c>
      <c r="H795">
        <v>0.88</v>
      </c>
      <c r="I795">
        <v>2777.28</v>
      </c>
      <c r="J795">
        <v>0.68</v>
      </c>
      <c r="K795">
        <v>2146.08</v>
      </c>
      <c r="L795">
        <v>631.20000000000005</v>
      </c>
    </row>
    <row r="796" spans="1:12" x14ac:dyDescent="0.25">
      <c r="A796">
        <v>795</v>
      </c>
      <c r="B796" t="s">
        <v>305</v>
      </c>
      <c r="C796" t="s">
        <v>365</v>
      </c>
      <c r="D796" t="s">
        <v>368</v>
      </c>
      <c r="E796" t="s">
        <v>381</v>
      </c>
      <c r="F796" t="s">
        <v>478</v>
      </c>
      <c r="G796">
        <v>1920</v>
      </c>
      <c r="H796">
        <v>1.03</v>
      </c>
      <c r="I796">
        <v>1977.6</v>
      </c>
      <c r="J796">
        <v>0.65</v>
      </c>
      <c r="K796">
        <v>1248</v>
      </c>
      <c r="L796">
        <v>729.6</v>
      </c>
    </row>
    <row r="797" spans="1:12" x14ac:dyDescent="0.25">
      <c r="A797">
        <v>796</v>
      </c>
      <c r="B797" t="s">
        <v>103</v>
      </c>
      <c r="C797" t="s">
        <v>366</v>
      </c>
      <c r="D797" t="s">
        <v>369</v>
      </c>
      <c r="E797" t="s">
        <v>429</v>
      </c>
      <c r="F797" t="s">
        <v>475</v>
      </c>
      <c r="G797">
        <v>1851</v>
      </c>
      <c r="H797">
        <v>1.1100000000000001</v>
      </c>
      <c r="I797">
        <v>2054.61</v>
      </c>
      <c r="J797">
        <v>0.92</v>
      </c>
      <c r="K797">
        <v>1702.92</v>
      </c>
      <c r="L797">
        <v>351.69</v>
      </c>
    </row>
    <row r="798" spans="1:12" x14ac:dyDescent="0.25">
      <c r="A798">
        <v>797</v>
      </c>
      <c r="B798" t="s">
        <v>53</v>
      </c>
      <c r="C798" t="s">
        <v>363</v>
      </c>
      <c r="D798" t="s">
        <v>368</v>
      </c>
      <c r="E798" t="s">
        <v>384</v>
      </c>
      <c r="F798" t="s">
        <v>489</v>
      </c>
      <c r="G798">
        <v>3581</v>
      </c>
      <c r="H798">
        <v>1.34</v>
      </c>
      <c r="I798">
        <v>4798.54</v>
      </c>
      <c r="J798">
        <v>0.81</v>
      </c>
      <c r="K798">
        <v>2900.61</v>
      </c>
      <c r="L798">
        <v>1897.93</v>
      </c>
    </row>
    <row r="799" spans="1:12" x14ac:dyDescent="0.25">
      <c r="A799">
        <v>798</v>
      </c>
      <c r="B799" t="s">
        <v>147</v>
      </c>
      <c r="C799" t="s">
        <v>363</v>
      </c>
      <c r="D799" t="s">
        <v>367</v>
      </c>
      <c r="E799" t="s">
        <v>398</v>
      </c>
      <c r="F799" t="s">
        <v>480</v>
      </c>
      <c r="G799">
        <v>1230</v>
      </c>
      <c r="H799">
        <v>1.29</v>
      </c>
      <c r="I799">
        <v>1586.7</v>
      </c>
      <c r="J799">
        <v>0.97</v>
      </c>
      <c r="K799">
        <v>1193.0999999999999</v>
      </c>
      <c r="L799">
        <v>393.6</v>
      </c>
    </row>
    <row r="800" spans="1:12" x14ac:dyDescent="0.25">
      <c r="A800">
        <v>799</v>
      </c>
      <c r="B800" t="s">
        <v>333</v>
      </c>
      <c r="C800" t="s">
        <v>364</v>
      </c>
      <c r="D800" t="s">
        <v>369</v>
      </c>
      <c r="E800" t="s">
        <v>454</v>
      </c>
      <c r="F800" t="s">
        <v>474</v>
      </c>
      <c r="G800">
        <v>2188</v>
      </c>
      <c r="H800">
        <v>0.9</v>
      </c>
      <c r="I800">
        <v>1969.2</v>
      </c>
      <c r="J800">
        <v>0.6</v>
      </c>
      <c r="K800">
        <v>1312.8</v>
      </c>
      <c r="L800">
        <v>656.4</v>
      </c>
    </row>
    <row r="801" spans="1:12" x14ac:dyDescent="0.25">
      <c r="A801">
        <v>800</v>
      </c>
      <c r="B801" t="s">
        <v>154</v>
      </c>
      <c r="C801" t="s">
        <v>366</v>
      </c>
      <c r="D801" t="s">
        <v>369</v>
      </c>
      <c r="E801" t="s">
        <v>445</v>
      </c>
      <c r="F801" t="s">
        <v>489</v>
      </c>
      <c r="G801">
        <v>808</v>
      </c>
      <c r="H801">
        <v>1.22</v>
      </c>
      <c r="I801">
        <v>985.76</v>
      </c>
      <c r="J801">
        <v>0.95</v>
      </c>
      <c r="K801">
        <v>767.6</v>
      </c>
      <c r="L801">
        <v>218.16</v>
      </c>
    </row>
    <row r="802" spans="1:12" x14ac:dyDescent="0.25">
      <c r="A802">
        <v>801</v>
      </c>
      <c r="B802" t="s">
        <v>294</v>
      </c>
      <c r="C802" t="s">
        <v>365</v>
      </c>
      <c r="D802" t="s">
        <v>367</v>
      </c>
      <c r="E802" t="s">
        <v>452</v>
      </c>
      <c r="F802" t="s">
        <v>481</v>
      </c>
      <c r="G802">
        <v>537</v>
      </c>
      <c r="H802">
        <v>1.19</v>
      </c>
      <c r="I802">
        <v>639.03</v>
      </c>
      <c r="J802">
        <v>0.77</v>
      </c>
      <c r="K802">
        <v>413.49</v>
      </c>
      <c r="L802">
        <v>225.54</v>
      </c>
    </row>
    <row r="803" spans="1:12" x14ac:dyDescent="0.25">
      <c r="A803">
        <v>802</v>
      </c>
      <c r="B803" t="s">
        <v>224</v>
      </c>
      <c r="C803" t="s">
        <v>365</v>
      </c>
      <c r="D803" t="s">
        <v>367</v>
      </c>
      <c r="E803" t="s">
        <v>424</v>
      </c>
      <c r="F803" t="s">
        <v>476</v>
      </c>
      <c r="G803">
        <v>4657</v>
      </c>
      <c r="H803">
        <v>0.95</v>
      </c>
      <c r="I803">
        <v>4424.1499999999996</v>
      </c>
      <c r="J803">
        <v>0.75</v>
      </c>
      <c r="K803">
        <v>3492.75</v>
      </c>
      <c r="L803">
        <v>931.4</v>
      </c>
    </row>
    <row r="804" spans="1:12" x14ac:dyDescent="0.25">
      <c r="A804">
        <v>803</v>
      </c>
      <c r="B804" t="s">
        <v>311</v>
      </c>
      <c r="C804" t="s">
        <v>365</v>
      </c>
      <c r="D804" t="s">
        <v>368</v>
      </c>
      <c r="E804" t="s">
        <v>456</v>
      </c>
      <c r="F804" t="s">
        <v>485</v>
      </c>
      <c r="G804">
        <v>1423</v>
      </c>
      <c r="H804">
        <v>1.36</v>
      </c>
      <c r="I804">
        <v>1935.28</v>
      </c>
      <c r="J804">
        <v>1.05</v>
      </c>
      <c r="K804">
        <v>1494.15</v>
      </c>
      <c r="L804">
        <v>441.13</v>
      </c>
    </row>
    <row r="805" spans="1:12" x14ac:dyDescent="0.25">
      <c r="A805">
        <v>804</v>
      </c>
      <c r="B805" t="s">
        <v>142</v>
      </c>
      <c r="C805" t="s">
        <v>366</v>
      </c>
      <c r="D805" t="s">
        <v>369</v>
      </c>
      <c r="E805" t="s">
        <v>406</v>
      </c>
      <c r="F805" t="s">
        <v>478</v>
      </c>
      <c r="G805">
        <v>942</v>
      </c>
      <c r="H805">
        <v>1.25</v>
      </c>
      <c r="I805">
        <v>1177.5</v>
      </c>
      <c r="J805">
        <v>0.84</v>
      </c>
      <c r="K805">
        <v>791.28</v>
      </c>
      <c r="L805">
        <v>386.22</v>
      </c>
    </row>
    <row r="806" spans="1:12" x14ac:dyDescent="0.25">
      <c r="A806">
        <v>805</v>
      </c>
      <c r="B806" t="s">
        <v>260</v>
      </c>
      <c r="C806" t="s">
        <v>365</v>
      </c>
      <c r="D806" t="s">
        <v>370</v>
      </c>
      <c r="E806" t="s">
        <v>422</v>
      </c>
      <c r="F806" t="s">
        <v>473</v>
      </c>
      <c r="G806">
        <v>854</v>
      </c>
      <c r="H806">
        <v>0.87</v>
      </c>
      <c r="I806">
        <v>742.98</v>
      </c>
      <c r="J806">
        <v>0.53</v>
      </c>
      <c r="K806">
        <v>452.62</v>
      </c>
      <c r="L806">
        <v>290.36</v>
      </c>
    </row>
    <row r="807" spans="1:12" x14ac:dyDescent="0.25">
      <c r="A807">
        <v>806</v>
      </c>
      <c r="B807" t="s">
        <v>215</v>
      </c>
      <c r="C807" t="s">
        <v>366</v>
      </c>
      <c r="D807" t="s">
        <v>368</v>
      </c>
      <c r="E807" t="s">
        <v>435</v>
      </c>
      <c r="F807" t="s">
        <v>483</v>
      </c>
      <c r="G807">
        <v>4718</v>
      </c>
      <c r="H807">
        <v>0.88</v>
      </c>
      <c r="I807">
        <v>4151.84</v>
      </c>
      <c r="J807">
        <v>0.72</v>
      </c>
      <c r="K807">
        <v>3396.96</v>
      </c>
      <c r="L807">
        <v>754.88</v>
      </c>
    </row>
    <row r="808" spans="1:12" x14ac:dyDescent="0.25">
      <c r="A808">
        <v>807</v>
      </c>
      <c r="B808" t="s">
        <v>256</v>
      </c>
      <c r="C808" t="s">
        <v>364</v>
      </c>
      <c r="D808" t="s">
        <v>370</v>
      </c>
      <c r="E808" t="s">
        <v>418</v>
      </c>
      <c r="F808" t="s">
        <v>487</v>
      </c>
      <c r="G808">
        <v>2384</v>
      </c>
      <c r="H808">
        <v>1.35</v>
      </c>
      <c r="I808">
        <v>3218.4</v>
      </c>
      <c r="J808">
        <v>0.92</v>
      </c>
      <c r="K808">
        <v>2193.2800000000002</v>
      </c>
      <c r="L808">
        <v>1025.1199999999999</v>
      </c>
    </row>
    <row r="809" spans="1:12" x14ac:dyDescent="0.25">
      <c r="A809">
        <v>808</v>
      </c>
      <c r="B809" t="s">
        <v>330</v>
      </c>
      <c r="C809" t="s">
        <v>364</v>
      </c>
      <c r="D809" t="s">
        <v>368</v>
      </c>
      <c r="E809" t="s">
        <v>418</v>
      </c>
      <c r="F809" t="s">
        <v>484</v>
      </c>
      <c r="G809">
        <v>2307</v>
      </c>
      <c r="H809">
        <v>0.85</v>
      </c>
      <c r="I809">
        <v>1960.95</v>
      </c>
      <c r="J809">
        <v>0.63</v>
      </c>
      <c r="K809">
        <v>1453.41</v>
      </c>
      <c r="L809">
        <v>507.54</v>
      </c>
    </row>
    <row r="810" spans="1:12" x14ac:dyDescent="0.25">
      <c r="A810">
        <v>809</v>
      </c>
      <c r="B810" t="s">
        <v>229</v>
      </c>
      <c r="C810" t="s">
        <v>366</v>
      </c>
      <c r="D810" t="s">
        <v>369</v>
      </c>
      <c r="E810" t="s">
        <v>381</v>
      </c>
      <c r="F810" t="s">
        <v>489</v>
      </c>
      <c r="G810">
        <v>4227</v>
      </c>
      <c r="H810">
        <v>0.92</v>
      </c>
      <c r="I810">
        <v>3888.84</v>
      </c>
      <c r="J810">
        <v>0.64</v>
      </c>
      <c r="K810">
        <v>2705.28</v>
      </c>
      <c r="L810">
        <v>1183.56</v>
      </c>
    </row>
    <row r="811" spans="1:12" x14ac:dyDescent="0.25">
      <c r="A811">
        <v>810</v>
      </c>
      <c r="B811" t="s">
        <v>172</v>
      </c>
      <c r="C811" t="s">
        <v>365</v>
      </c>
      <c r="D811" t="s">
        <v>368</v>
      </c>
      <c r="E811" t="s">
        <v>412</v>
      </c>
      <c r="F811" t="s">
        <v>485</v>
      </c>
      <c r="G811">
        <v>3251</v>
      </c>
      <c r="H811">
        <v>0.89</v>
      </c>
      <c r="I811">
        <v>2893.39</v>
      </c>
      <c r="J811">
        <v>0.69</v>
      </c>
      <c r="K811">
        <v>2243.19</v>
      </c>
      <c r="L811">
        <v>650.20000000000005</v>
      </c>
    </row>
    <row r="812" spans="1:12" x14ac:dyDescent="0.25">
      <c r="A812">
        <v>811</v>
      </c>
      <c r="B812" t="s">
        <v>39</v>
      </c>
      <c r="C812" t="s">
        <v>366</v>
      </c>
      <c r="D812" t="s">
        <v>370</v>
      </c>
      <c r="E812" t="s">
        <v>409</v>
      </c>
      <c r="F812" t="s">
        <v>473</v>
      </c>
      <c r="G812">
        <v>4256</v>
      </c>
      <c r="H812">
        <v>1.0900000000000001</v>
      </c>
      <c r="I812">
        <v>4639.04</v>
      </c>
      <c r="J812">
        <v>0.86</v>
      </c>
      <c r="K812">
        <v>3660.16</v>
      </c>
      <c r="L812">
        <v>978.88</v>
      </c>
    </row>
    <row r="813" spans="1:12" x14ac:dyDescent="0.25">
      <c r="A813">
        <v>812</v>
      </c>
      <c r="B813" t="s">
        <v>348</v>
      </c>
      <c r="C813" t="s">
        <v>366</v>
      </c>
      <c r="D813" t="s">
        <v>370</v>
      </c>
      <c r="E813" t="s">
        <v>436</v>
      </c>
      <c r="F813" t="s">
        <v>489</v>
      </c>
      <c r="G813">
        <v>1892</v>
      </c>
      <c r="H813">
        <v>1.2</v>
      </c>
      <c r="I813">
        <v>2270.4</v>
      </c>
      <c r="J813">
        <v>0.89</v>
      </c>
      <c r="K813">
        <v>1683.88</v>
      </c>
      <c r="L813">
        <v>586.52</v>
      </c>
    </row>
    <row r="814" spans="1:12" x14ac:dyDescent="0.25">
      <c r="A814">
        <v>813</v>
      </c>
      <c r="B814" t="s">
        <v>32</v>
      </c>
      <c r="C814" t="s">
        <v>364</v>
      </c>
      <c r="D814" t="s">
        <v>367</v>
      </c>
      <c r="E814" t="s">
        <v>430</v>
      </c>
      <c r="F814" t="s">
        <v>483</v>
      </c>
      <c r="G814">
        <v>2273</v>
      </c>
      <c r="H814">
        <v>1.21</v>
      </c>
      <c r="I814">
        <v>2750.33</v>
      </c>
      <c r="J814">
        <v>0.98</v>
      </c>
      <c r="K814">
        <v>2227.54</v>
      </c>
      <c r="L814">
        <v>522.79</v>
      </c>
    </row>
    <row r="815" spans="1:12" x14ac:dyDescent="0.25">
      <c r="A815">
        <v>814</v>
      </c>
      <c r="B815" t="s">
        <v>58</v>
      </c>
      <c r="C815" t="s">
        <v>364</v>
      </c>
      <c r="D815" t="s">
        <v>367</v>
      </c>
      <c r="E815" t="s">
        <v>371</v>
      </c>
      <c r="F815" t="s">
        <v>477</v>
      </c>
      <c r="G815">
        <v>2530</v>
      </c>
      <c r="H815">
        <v>1.03</v>
      </c>
      <c r="I815">
        <v>2605.9</v>
      </c>
      <c r="J815">
        <v>0.77</v>
      </c>
      <c r="K815">
        <v>1948.1</v>
      </c>
      <c r="L815">
        <v>657.8</v>
      </c>
    </row>
    <row r="816" spans="1:12" x14ac:dyDescent="0.25">
      <c r="A816">
        <v>815</v>
      </c>
      <c r="B816" t="s">
        <v>271</v>
      </c>
      <c r="C816" t="s">
        <v>363</v>
      </c>
      <c r="D816" t="s">
        <v>368</v>
      </c>
      <c r="E816" t="s">
        <v>419</v>
      </c>
      <c r="F816" t="s">
        <v>478</v>
      </c>
      <c r="G816">
        <v>828</v>
      </c>
      <c r="H816">
        <v>1.49</v>
      </c>
      <c r="I816">
        <v>1233.72</v>
      </c>
      <c r="J816">
        <v>1.17</v>
      </c>
      <c r="K816">
        <v>968.76</v>
      </c>
      <c r="L816">
        <v>264.95999999999998</v>
      </c>
    </row>
    <row r="817" spans="1:12" x14ac:dyDescent="0.25">
      <c r="A817">
        <v>816</v>
      </c>
      <c r="B817" t="s">
        <v>248</v>
      </c>
      <c r="C817" t="s">
        <v>364</v>
      </c>
      <c r="D817" t="s">
        <v>367</v>
      </c>
      <c r="E817" t="s">
        <v>442</v>
      </c>
      <c r="F817" t="s">
        <v>484</v>
      </c>
      <c r="G817">
        <v>4426</v>
      </c>
      <c r="H817">
        <v>1.37</v>
      </c>
      <c r="I817">
        <v>6063.62</v>
      </c>
      <c r="J817">
        <v>1.06</v>
      </c>
      <c r="K817">
        <v>4691.5600000000004</v>
      </c>
      <c r="L817">
        <v>1372.06</v>
      </c>
    </row>
    <row r="818" spans="1:12" x14ac:dyDescent="0.25">
      <c r="A818">
        <v>817</v>
      </c>
      <c r="B818" t="s">
        <v>330</v>
      </c>
      <c r="C818" t="s">
        <v>364</v>
      </c>
      <c r="D818" t="s">
        <v>369</v>
      </c>
      <c r="E818" t="s">
        <v>388</v>
      </c>
      <c r="F818" t="s">
        <v>486</v>
      </c>
      <c r="G818">
        <v>601</v>
      </c>
      <c r="H818">
        <v>1.29</v>
      </c>
      <c r="I818">
        <v>775.29</v>
      </c>
      <c r="J818">
        <v>0.91</v>
      </c>
      <c r="K818">
        <v>546.91</v>
      </c>
      <c r="L818">
        <v>228.38</v>
      </c>
    </row>
    <row r="819" spans="1:12" x14ac:dyDescent="0.25">
      <c r="A819">
        <v>818</v>
      </c>
      <c r="B819" t="s">
        <v>331</v>
      </c>
      <c r="C819" t="s">
        <v>365</v>
      </c>
      <c r="D819" t="s">
        <v>368</v>
      </c>
      <c r="E819" t="s">
        <v>386</v>
      </c>
      <c r="F819" t="s">
        <v>477</v>
      </c>
      <c r="G819">
        <v>1243</v>
      </c>
      <c r="H819">
        <v>0.81</v>
      </c>
      <c r="I819">
        <v>1006.83</v>
      </c>
      <c r="J819">
        <v>0.62</v>
      </c>
      <c r="K819">
        <v>770.66</v>
      </c>
      <c r="L819">
        <v>236.17</v>
      </c>
    </row>
    <row r="820" spans="1:12" x14ac:dyDescent="0.25">
      <c r="A820">
        <v>819</v>
      </c>
      <c r="B820" t="s">
        <v>27</v>
      </c>
      <c r="C820" t="s">
        <v>363</v>
      </c>
      <c r="D820" t="s">
        <v>369</v>
      </c>
      <c r="E820" t="s">
        <v>378</v>
      </c>
      <c r="F820" t="s">
        <v>473</v>
      </c>
      <c r="G820">
        <v>1635</v>
      </c>
      <c r="H820">
        <v>1.41</v>
      </c>
      <c r="I820">
        <v>2305.35</v>
      </c>
      <c r="J820">
        <v>0.99</v>
      </c>
      <c r="K820">
        <v>1618.65</v>
      </c>
      <c r="L820">
        <v>686.7</v>
      </c>
    </row>
    <row r="821" spans="1:12" x14ac:dyDescent="0.25">
      <c r="A821">
        <v>820</v>
      </c>
      <c r="B821" t="s">
        <v>349</v>
      </c>
      <c r="C821" t="s">
        <v>363</v>
      </c>
      <c r="D821" t="s">
        <v>369</v>
      </c>
      <c r="E821" t="s">
        <v>384</v>
      </c>
      <c r="F821" t="s">
        <v>486</v>
      </c>
      <c r="G821">
        <v>3652</v>
      </c>
      <c r="H821">
        <v>1.43</v>
      </c>
      <c r="I821">
        <v>5222.3599999999997</v>
      </c>
      <c r="J821">
        <v>0.98</v>
      </c>
      <c r="K821">
        <v>3578.96</v>
      </c>
      <c r="L821">
        <v>1643.4</v>
      </c>
    </row>
    <row r="822" spans="1:12" x14ac:dyDescent="0.25">
      <c r="A822">
        <v>821</v>
      </c>
      <c r="B822" t="s">
        <v>350</v>
      </c>
      <c r="C822" t="s">
        <v>364</v>
      </c>
      <c r="D822" t="s">
        <v>370</v>
      </c>
      <c r="E822" t="s">
        <v>463</v>
      </c>
      <c r="F822" t="s">
        <v>471</v>
      </c>
      <c r="G822">
        <v>4943</v>
      </c>
      <c r="H822">
        <v>1.2</v>
      </c>
      <c r="I822">
        <v>5931.6</v>
      </c>
      <c r="J822">
        <v>0.78</v>
      </c>
      <c r="K822">
        <v>3855.54</v>
      </c>
      <c r="L822">
        <v>2076.06</v>
      </c>
    </row>
    <row r="823" spans="1:12" x14ac:dyDescent="0.25">
      <c r="A823">
        <v>822</v>
      </c>
      <c r="B823" t="s">
        <v>171</v>
      </c>
      <c r="C823" t="s">
        <v>365</v>
      </c>
      <c r="D823" t="s">
        <v>367</v>
      </c>
      <c r="E823" t="s">
        <v>371</v>
      </c>
      <c r="F823" t="s">
        <v>478</v>
      </c>
      <c r="G823">
        <v>4716</v>
      </c>
      <c r="H823">
        <v>1.46</v>
      </c>
      <c r="I823">
        <v>6885.36</v>
      </c>
      <c r="J823">
        <v>1.1200000000000001</v>
      </c>
      <c r="K823">
        <v>5281.92</v>
      </c>
      <c r="L823">
        <v>1603.44</v>
      </c>
    </row>
    <row r="824" spans="1:12" x14ac:dyDescent="0.25">
      <c r="A824">
        <v>823</v>
      </c>
      <c r="B824" t="s">
        <v>97</v>
      </c>
      <c r="C824" t="s">
        <v>364</v>
      </c>
      <c r="D824" t="s">
        <v>367</v>
      </c>
      <c r="E824" t="s">
        <v>383</v>
      </c>
      <c r="F824" t="s">
        <v>473</v>
      </c>
      <c r="G824">
        <v>834</v>
      </c>
      <c r="H824">
        <v>1.06</v>
      </c>
      <c r="I824">
        <v>884.04</v>
      </c>
      <c r="J824">
        <v>0.68</v>
      </c>
      <c r="K824">
        <v>567.12</v>
      </c>
      <c r="L824">
        <v>316.92</v>
      </c>
    </row>
    <row r="825" spans="1:12" x14ac:dyDescent="0.25">
      <c r="A825">
        <v>824</v>
      </c>
      <c r="B825" t="s">
        <v>351</v>
      </c>
      <c r="C825" t="s">
        <v>366</v>
      </c>
      <c r="D825" t="s">
        <v>367</v>
      </c>
      <c r="E825" t="s">
        <v>457</v>
      </c>
      <c r="F825" t="s">
        <v>487</v>
      </c>
      <c r="G825">
        <v>2454</v>
      </c>
      <c r="H825">
        <v>1.18</v>
      </c>
      <c r="I825">
        <v>2895.72</v>
      </c>
      <c r="J825">
        <v>0.9</v>
      </c>
      <c r="K825">
        <v>2208.6</v>
      </c>
      <c r="L825">
        <v>687.12</v>
      </c>
    </row>
    <row r="826" spans="1:12" x14ac:dyDescent="0.25">
      <c r="A826">
        <v>825</v>
      </c>
      <c r="B826" t="s">
        <v>343</v>
      </c>
      <c r="C826" t="s">
        <v>366</v>
      </c>
      <c r="D826" t="s">
        <v>368</v>
      </c>
      <c r="E826" t="s">
        <v>441</v>
      </c>
      <c r="F826" t="s">
        <v>475</v>
      </c>
      <c r="G826">
        <v>2690</v>
      </c>
      <c r="H826">
        <v>1.1499999999999999</v>
      </c>
      <c r="I826">
        <v>3093.5</v>
      </c>
      <c r="J826">
        <v>0.81</v>
      </c>
      <c r="K826">
        <v>2178.9</v>
      </c>
      <c r="L826">
        <v>914.6</v>
      </c>
    </row>
    <row r="827" spans="1:12" x14ac:dyDescent="0.25">
      <c r="A827">
        <v>826</v>
      </c>
      <c r="B827" t="s">
        <v>229</v>
      </c>
      <c r="C827" t="s">
        <v>365</v>
      </c>
      <c r="D827" t="s">
        <v>367</v>
      </c>
      <c r="E827" t="s">
        <v>452</v>
      </c>
      <c r="F827" t="s">
        <v>473</v>
      </c>
      <c r="G827">
        <v>4483</v>
      </c>
      <c r="H827">
        <v>1.1499999999999999</v>
      </c>
      <c r="I827">
        <v>5155.45</v>
      </c>
      <c r="J827">
        <v>0.93</v>
      </c>
      <c r="K827">
        <v>4169.1899999999996</v>
      </c>
      <c r="L827">
        <v>986.26</v>
      </c>
    </row>
    <row r="828" spans="1:12" x14ac:dyDescent="0.25">
      <c r="A828">
        <v>827</v>
      </c>
      <c r="B828" t="s">
        <v>56</v>
      </c>
      <c r="C828" t="s">
        <v>364</v>
      </c>
      <c r="D828" t="s">
        <v>370</v>
      </c>
      <c r="E828" t="s">
        <v>402</v>
      </c>
      <c r="F828" t="s">
        <v>475</v>
      </c>
      <c r="G828">
        <v>1037</v>
      </c>
      <c r="H828">
        <v>0.93</v>
      </c>
      <c r="I828">
        <v>964.41</v>
      </c>
      <c r="J828">
        <v>0.76</v>
      </c>
      <c r="K828">
        <v>788.12</v>
      </c>
      <c r="L828">
        <v>176.29</v>
      </c>
    </row>
    <row r="829" spans="1:12" x14ac:dyDescent="0.25">
      <c r="A829">
        <v>828</v>
      </c>
      <c r="B829" t="s">
        <v>87</v>
      </c>
      <c r="C829" t="s">
        <v>364</v>
      </c>
      <c r="D829" t="s">
        <v>367</v>
      </c>
      <c r="E829" t="s">
        <v>445</v>
      </c>
      <c r="F829" t="s">
        <v>482</v>
      </c>
      <c r="G829">
        <v>1130</v>
      </c>
      <c r="H829">
        <v>0.88</v>
      </c>
      <c r="I829">
        <v>994.4</v>
      </c>
      <c r="J829">
        <v>0.59</v>
      </c>
      <c r="K829">
        <v>666.7</v>
      </c>
      <c r="L829">
        <v>327.7</v>
      </c>
    </row>
    <row r="830" spans="1:12" x14ac:dyDescent="0.25">
      <c r="A830">
        <v>829</v>
      </c>
      <c r="B830" t="s">
        <v>70</v>
      </c>
      <c r="C830" t="s">
        <v>364</v>
      </c>
      <c r="D830" t="s">
        <v>368</v>
      </c>
      <c r="E830" t="s">
        <v>399</v>
      </c>
      <c r="F830" t="s">
        <v>485</v>
      </c>
      <c r="G830">
        <v>4765</v>
      </c>
      <c r="H830">
        <v>1.47</v>
      </c>
      <c r="I830">
        <v>7004.55</v>
      </c>
      <c r="J830">
        <v>0.89</v>
      </c>
      <c r="K830">
        <v>4240.8500000000004</v>
      </c>
      <c r="L830">
        <v>2763.7</v>
      </c>
    </row>
    <row r="831" spans="1:12" x14ac:dyDescent="0.25">
      <c r="A831">
        <v>830</v>
      </c>
      <c r="B831" t="s">
        <v>190</v>
      </c>
      <c r="C831" t="s">
        <v>364</v>
      </c>
      <c r="D831" t="s">
        <v>368</v>
      </c>
      <c r="E831" t="s">
        <v>452</v>
      </c>
      <c r="F831" t="s">
        <v>481</v>
      </c>
      <c r="G831">
        <v>4136</v>
      </c>
      <c r="H831">
        <v>1.32</v>
      </c>
      <c r="I831">
        <v>5459.52</v>
      </c>
      <c r="J831">
        <v>0.8</v>
      </c>
      <c r="K831">
        <v>3308.8</v>
      </c>
      <c r="L831">
        <v>2150.7199999999998</v>
      </c>
    </row>
    <row r="832" spans="1:12" x14ac:dyDescent="0.25">
      <c r="A832">
        <v>831</v>
      </c>
      <c r="B832" t="s">
        <v>352</v>
      </c>
      <c r="C832" t="s">
        <v>363</v>
      </c>
      <c r="D832" t="s">
        <v>367</v>
      </c>
      <c r="E832" t="s">
        <v>465</v>
      </c>
      <c r="F832" t="s">
        <v>490</v>
      </c>
      <c r="G832">
        <v>3251</v>
      </c>
      <c r="H832">
        <v>1.0900000000000001</v>
      </c>
      <c r="I832">
        <v>3543.59</v>
      </c>
      <c r="J832">
        <v>0.75</v>
      </c>
      <c r="K832">
        <v>2438.25</v>
      </c>
      <c r="L832">
        <v>1105.3399999999999</v>
      </c>
    </row>
    <row r="833" spans="1:12" x14ac:dyDescent="0.25">
      <c r="A833">
        <v>832</v>
      </c>
      <c r="B833" t="s">
        <v>45</v>
      </c>
      <c r="C833" t="s">
        <v>364</v>
      </c>
      <c r="D833" t="s">
        <v>370</v>
      </c>
      <c r="E833" t="s">
        <v>426</v>
      </c>
      <c r="F833" t="s">
        <v>490</v>
      </c>
      <c r="G833">
        <v>4993</v>
      </c>
      <c r="H833">
        <v>1.1100000000000001</v>
      </c>
      <c r="I833">
        <v>5542.23</v>
      </c>
      <c r="J833">
        <v>0.75</v>
      </c>
      <c r="K833">
        <v>3744.75</v>
      </c>
      <c r="L833">
        <v>1797.48</v>
      </c>
    </row>
    <row r="834" spans="1:12" x14ac:dyDescent="0.25">
      <c r="A834">
        <v>833</v>
      </c>
      <c r="B834" t="s">
        <v>257</v>
      </c>
      <c r="C834" t="s">
        <v>366</v>
      </c>
      <c r="D834" t="s">
        <v>370</v>
      </c>
      <c r="E834" t="s">
        <v>382</v>
      </c>
      <c r="F834" t="s">
        <v>477</v>
      </c>
      <c r="G834">
        <v>4466</v>
      </c>
      <c r="H834">
        <v>1.06</v>
      </c>
      <c r="I834">
        <v>4733.96</v>
      </c>
      <c r="J834">
        <v>0.71</v>
      </c>
      <c r="K834">
        <v>3170.86</v>
      </c>
      <c r="L834">
        <v>1563.1</v>
      </c>
    </row>
    <row r="835" spans="1:12" x14ac:dyDescent="0.25">
      <c r="A835">
        <v>834</v>
      </c>
      <c r="B835" t="s">
        <v>24</v>
      </c>
      <c r="C835" t="s">
        <v>365</v>
      </c>
      <c r="D835" t="s">
        <v>368</v>
      </c>
      <c r="E835" t="s">
        <v>407</v>
      </c>
      <c r="F835" t="s">
        <v>473</v>
      </c>
      <c r="G835">
        <v>1862</v>
      </c>
      <c r="H835">
        <v>1.23</v>
      </c>
      <c r="I835">
        <v>2290.2600000000002</v>
      </c>
      <c r="J835">
        <v>0.79</v>
      </c>
      <c r="K835">
        <v>1470.98</v>
      </c>
      <c r="L835">
        <v>819.28</v>
      </c>
    </row>
    <row r="836" spans="1:12" x14ac:dyDescent="0.25">
      <c r="A836">
        <v>835</v>
      </c>
      <c r="B836" t="s">
        <v>17</v>
      </c>
      <c r="C836" t="s">
        <v>366</v>
      </c>
      <c r="D836" t="s">
        <v>370</v>
      </c>
      <c r="E836" t="s">
        <v>445</v>
      </c>
      <c r="F836" t="s">
        <v>474</v>
      </c>
      <c r="G836">
        <v>1820</v>
      </c>
      <c r="H836">
        <v>0.97</v>
      </c>
      <c r="I836">
        <v>1765.4</v>
      </c>
      <c r="J836">
        <v>0.59</v>
      </c>
      <c r="K836">
        <v>1073.8</v>
      </c>
      <c r="L836">
        <v>691.6</v>
      </c>
    </row>
    <row r="837" spans="1:12" x14ac:dyDescent="0.25">
      <c r="A837">
        <v>836</v>
      </c>
      <c r="B837" t="s">
        <v>335</v>
      </c>
      <c r="C837" t="s">
        <v>364</v>
      </c>
      <c r="D837" t="s">
        <v>368</v>
      </c>
      <c r="E837" t="s">
        <v>382</v>
      </c>
      <c r="F837" t="s">
        <v>475</v>
      </c>
      <c r="G837">
        <v>2011</v>
      </c>
      <c r="H837">
        <v>0.94</v>
      </c>
      <c r="I837">
        <v>1890.34</v>
      </c>
      <c r="J837">
        <v>0.73</v>
      </c>
      <c r="K837">
        <v>1468.03</v>
      </c>
      <c r="L837">
        <v>422.31</v>
      </c>
    </row>
    <row r="838" spans="1:12" x14ac:dyDescent="0.25">
      <c r="A838">
        <v>837</v>
      </c>
      <c r="B838" t="s">
        <v>169</v>
      </c>
      <c r="C838" t="s">
        <v>365</v>
      </c>
      <c r="D838" t="s">
        <v>370</v>
      </c>
      <c r="E838" t="s">
        <v>446</v>
      </c>
      <c r="F838" t="s">
        <v>475</v>
      </c>
      <c r="G838">
        <v>4173</v>
      </c>
      <c r="H838">
        <v>1.18</v>
      </c>
      <c r="I838">
        <v>4924.1400000000003</v>
      </c>
      <c r="J838">
        <v>0.76</v>
      </c>
      <c r="K838">
        <v>3171.48</v>
      </c>
      <c r="L838">
        <v>1752.66</v>
      </c>
    </row>
    <row r="839" spans="1:12" x14ac:dyDescent="0.25">
      <c r="A839">
        <v>838</v>
      </c>
      <c r="B839" t="s">
        <v>353</v>
      </c>
      <c r="C839" t="s">
        <v>363</v>
      </c>
      <c r="D839" t="s">
        <v>367</v>
      </c>
      <c r="E839" t="s">
        <v>413</v>
      </c>
      <c r="F839" t="s">
        <v>483</v>
      </c>
      <c r="G839">
        <v>1690</v>
      </c>
      <c r="H839">
        <v>1.46</v>
      </c>
      <c r="I839">
        <v>2467.4</v>
      </c>
      <c r="J839">
        <v>1.21</v>
      </c>
      <c r="K839">
        <v>2044.9</v>
      </c>
      <c r="L839">
        <v>422.5</v>
      </c>
    </row>
    <row r="840" spans="1:12" x14ac:dyDescent="0.25">
      <c r="A840">
        <v>839</v>
      </c>
      <c r="B840" t="s">
        <v>132</v>
      </c>
      <c r="C840" t="s">
        <v>365</v>
      </c>
      <c r="D840" t="s">
        <v>367</v>
      </c>
      <c r="E840" t="s">
        <v>431</v>
      </c>
      <c r="F840" t="s">
        <v>482</v>
      </c>
      <c r="G840">
        <v>4382</v>
      </c>
      <c r="H840">
        <v>1.43</v>
      </c>
      <c r="I840">
        <v>6266.26</v>
      </c>
      <c r="J840">
        <v>1.2</v>
      </c>
      <c r="K840">
        <v>5258.4</v>
      </c>
      <c r="L840">
        <v>1007.86</v>
      </c>
    </row>
    <row r="841" spans="1:12" x14ac:dyDescent="0.25">
      <c r="A841">
        <v>840</v>
      </c>
      <c r="B841" t="s">
        <v>180</v>
      </c>
      <c r="C841" t="s">
        <v>364</v>
      </c>
      <c r="D841" t="s">
        <v>368</v>
      </c>
      <c r="E841" t="s">
        <v>425</v>
      </c>
      <c r="F841" t="s">
        <v>488</v>
      </c>
      <c r="G841">
        <v>4423</v>
      </c>
      <c r="H841">
        <v>1.43</v>
      </c>
      <c r="I841">
        <v>6324.89</v>
      </c>
      <c r="J841">
        <v>0.91</v>
      </c>
      <c r="K841">
        <v>4024.93</v>
      </c>
      <c r="L841">
        <v>2299.96</v>
      </c>
    </row>
    <row r="842" spans="1:12" x14ac:dyDescent="0.25">
      <c r="A842">
        <v>841</v>
      </c>
      <c r="B842" t="s">
        <v>184</v>
      </c>
      <c r="C842" t="s">
        <v>365</v>
      </c>
      <c r="D842" t="s">
        <v>367</v>
      </c>
      <c r="E842" t="s">
        <v>435</v>
      </c>
      <c r="F842" t="s">
        <v>484</v>
      </c>
      <c r="G842">
        <v>2305</v>
      </c>
      <c r="H842">
        <v>1.1100000000000001</v>
      </c>
      <c r="I842">
        <v>2558.5500000000002</v>
      </c>
      <c r="J842">
        <v>0.69</v>
      </c>
      <c r="K842">
        <v>1590.45</v>
      </c>
      <c r="L842">
        <v>968.1</v>
      </c>
    </row>
    <row r="843" spans="1:12" x14ac:dyDescent="0.25">
      <c r="A843">
        <v>842</v>
      </c>
      <c r="B843" t="s">
        <v>210</v>
      </c>
      <c r="C843" t="s">
        <v>366</v>
      </c>
      <c r="D843" t="s">
        <v>368</v>
      </c>
      <c r="E843" t="s">
        <v>380</v>
      </c>
      <c r="F843" t="s">
        <v>471</v>
      </c>
      <c r="G843">
        <v>2103</v>
      </c>
      <c r="H843">
        <v>0.82</v>
      </c>
      <c r="I843">
        <v>1724.46</v>
      </c>
      <c r="J843">
        <v>0.6</v>
      </c>
      <c r="K843">
        <v>1261.8</v>
      </c>
      <c r="L843">
        <v>462.66</v>
      </c>
    </row>
    <row r="844" spans="1:12" x14ac:dyDescent="0.25">
      <c r="A844">
        <v>843</v>
      </c>
      <c r="B844" t="s">
        <v>176</v>
      </c>
      <c r="C844" t="s">
        <v>364</v>
      </c>
      <c r="D844" t="s">
        <v>367</v>
      </c>
      <c r="E844" t="s">
        <v>395</v>
      </c>
      <c r="F844" t="s">
        <v>483</v>
      </c>
      <c r="G844">
        <v>3103</v>
      </c>
      <c r="H844">
        <v>1.22</v>
      </c>
      <c r="I844">
        <v>3785.66</v>
      </c>
      <c r="J844">
        <v>0.89</v>
      </c>
      <c r="K844">
        <v>2761.67</v>
      </c>
      <c r="L844">
        <v>1023.99</v>
      </c>
    </row>
    <row r="845" spans="1:12" x14ac:dyDescent="0.25">
      <c r="A845">
        <v>844</v>
      </c>
      <c r="B845" t="s">
        <v>210</v>
      </c>
      <c r="C845" t="s">
        <v>364</v>
      </c>
      <c r="D845" t="s">
        <v>370</v>
      </c>
      <c r="E845" t="s">
        <v>446</v>
      </c>
      <c r="F845" t="s">
        <v>481</v>
      </c>
      <c r="G845">
        <v>3528</v>
      </c>
      <c r="H845">
        <v>1.07</v>
      </c>
      <c r="I845">
        <v>3774.96</v>
      </c>
      <c r="J845">
        <v>0.65</v>
      </c>
      <c r="K845">
        <v>2293.1999999999998</v>
      </c>
      <c r="L845">
        <v>1481.76</v>
      </c>
    </row>
    <row r="846" spans="1:12" x14ac:dyDescent="0.25">
      <c r="A846">
        <v>845</v>
      </c>
      <c r="B846" t="s">
        <v>192</v>
      </c>
      <c r="C846" t="s">
        <v>365</v>
      </c>
      <c r="D846" t="s">
        <v>370</v>
      </c>
      <c r="E846" t="s">
        <v>434</v>
      </c>
      <c r="F846" t="s">
        <v>476</v>
      </c>
      <c r="G846">
        <v>1217</v>
      </c>
      <c r="H846">
        <v>0.95</v>
      </c>
      <c r="I846">
        <v>1156.1500000000001</v>
      </c>
      <c r="J846">
        <v>0.78</v>
      </c>
      <c r="K846">
        <v>949.26</v>
      </c>
      <c r="L846">
        <v>206.89</v>
      </c>
    </row>
    <row r="847" spans="1:12" x14ac:dyDescent="0.25">
      <c r="A847">
        <v>846</v>
      </c>
      <c r="B847" t="s">
        <v>141</v>
      </c>
      <c r="C847" t="s">
        <v>365</v>
      </c>
      <c r="D847" t="s">
        <v>369</v>
      </c>
      <c r="E847" t="s">
        <v>406</v>
      </c>
      <c r="F847" t="s">
        <v>481</v>
      </c>
      <c r="G847">
        <v>3893</v>
      </c>
      <c r="H847">
        <v>0.9</v>
      </c>
      <c r="I847">
        <v>3503.7</v>
      </c>
      <c r="J847">
        <v>0.67</v>
      </c>
      <c r="K847">
        <v>2608.31</v>
      </c>
      <c r="L847">
        <v>895.39</v>
      </c>
    </row>
    <row r="848" spans="1:12" x14ac:dyDescent="0.25">
      <c r="A848">
        <v>847</v>
      </c>
      <c r="B848" t="s">
        <v>87</v>
      </c>
      <c r="C848" t="s">
        <v>366</v>
      </c>
      <c r="D848" t="s">
        <v>368</v>
      </c>
      <c r="E848" t="s">
        <v>443</v>
      </c>
      <c r="F848" t="s">
        <v>483</v>
      </c>
      <c r="G848">
        <v>4803</v>
      </c>
      <c r="H848">
        <v>1.49</v>
      </c>
      <c r="I848">
        <v>7156.47</v>
      </c>
      <c r="J848">
        <v>0.92</v>
      </c>
      <c r="K848">
        <v>4418.76</v>
      </c>
      <c r="L848">
        <v>2737.71</v>
      </c>
    </row>
    <row r="849" spans="1:12" x14ac:dyDescent="0.25">
      <c r="A849">
        <v>848</v>
      </c>
      <c r="B849" t="s">
        <v>271</v>
      </c>
      <c r="C849" t="s">
        <v>363</v>
      </c>
      <c r="D849" t="s">
        <v>369</v>
      </c>
      <c r="E849" t="s">
        <v>398</v>
      </c>
      <c r="F849" t="s">
        <v>481</v>
      </c>
      <c r="G849">
        <v>2739</v>
      </c>
      <c r="H849">
        <v>1.0900000000000001</v>
      </c>
      <c r="I849">
        <v>2985.51</v>
      </c>
      <c r="J849">
        <v>0.81</v>
      </c>
      <c r="K849">
        <v>2218.59</v>
      </c>
      <c r="L849">
        <v>766.92</v>
      </c>
    </row>
    <row r="850" spans="1:12" x14ac:dyDescent="0.25">
      <c r="A850">
        <v>849</v>
      </c>
      <c r="B850" t="s">
        <v>187</v>
      </c>
      <c r="C850" t="s">
        <v>366</v>
      </c>
      <c r="D850" t="s">
        <v>368</v>
      </c>
      <c r="E850" t="s">
        <v>401</v>
      </c>
      <c r="F850" t="s">
        <v>484</v>
      </c>
      <c r="G850">
        <v>2871</v>
      </c>
      <c r="H850">
        <v>1.19</v>
      </c>
      <c r="I850">
        <v>3416.49</v>
      </c>
      <c r="J850">
        <v>0.73</v>
      </c>
      <c r="K850">
        <v>2095.83</v>
      </c>
      <c r="L850">
        <v>1320.66</v>
      </c>
    </row>
    <row r="851" spans="1:12" x14ac:dyDescent="0.25">
      <c r="A851">
        <v>850</v>
      </c>
      <c r="B851" t="s">
        <v>353</v>
      </c>
      <c r="C851" t="s">
        <v>364</v>
      </c>
      <c r="D851" t="s">
        <v>370</v>
      </c>
      <c r="E851" t="s">
        <v>421</v>
      </c>
      <c r="F851" t="s">
        <v>473</v>
      </c>
      <c r="G851">
        <v>2339</v>
      </c>
      <c r="H851">
        <v>0.82</v>
      </c>
      <c r="I851">
        <v>1917.98</v>
      </c>
      <c r="J851">
        <v>0.49</v>
      </c>
      <c r="K851">
        <v>1146.1099999999999</v>
      </c>
      <c r="L851">
        <v>771.87</v>
      </c>
    </row>
    <row r="852" spans="1:12" x14ac:dyDescent="0.25">
      <c r="A852">
        <v>851</v>
      </c>
      <c r="B852" t="s">
        <v>26</v>
      </c>
      <c r="C852" t="s">
        <v>364</v>
      </c>
      <c r="D852" t="s">
        <v>370</v>
      </c>
      <c r="E852" t="s">
        <v>459</v>
      </c>
      <c r="F852" t="s">
        <v>482</v>
      </c>
      <c r="G852">
        <v>3917</v>
      </c>
      <c r="H852">
        <v>0.93</v>
      </c>
      <c r="I852">
        <v>3642.81</v>
      </c>
      <c r="J852">
        <v>0.77</v>
      </c>
      <c r="K852">
        <v>3016.09</v>
      </c>
      <c r="L852">
        <v>626.72</v>
      </c>
    </row>
    <row r="853" spans="1:12" x14ac:dyDescent="0.25">
      <c r="A853">
        <v>852</v>
      </c>
      <c r="B853" t="s">
        <v>45</v>
      </c>
      <c r="C853" t="s">
        <v>363</v>
      </c>
      <c r="D853" t="s">
        <v>368</v>
      </c>
      <c r="E853" t="s">
        <v>459</v>
      </c>
      <c r="F853" t="s">
        <v>471</v>
      </c>
      <c r="G853">
        <v>4539</v>
      </c>
      <c r="H853">
        <v>1.5</v>
      </c>
      <c r="I853">
        <v>6808.5</v>
      </c>
      <c r="J853">
        <v>0.93</v>
      </c>
      <c r="K853">
        <v>4221.2700000000004</v>
      </c>
      <c r="L853">
        <v>2587.23</v>
      </c>
    </row>
    <row r="854" spans="1:12" x14ac:dyDescent="0.25">
      <c r="A854">
        <v>853</v>
      </c>
      <c r="B854" t="s">
        <v>18</v>
      </c>
      <c r="C854" t="s">
        <v>364</v>
      </c>
      <c r="D854" t="s">
        <v>369</v>
      </c>
      <c r="E854" t="s">
        <v>382</v>
      </c>
      <c r="F854" t="s">
        <v>483</v>
      </c>
      <c r="G854">
        <v>1479</v>
      </c>
      <c r="H854">
        <v>1.06</v>
      </c>
      <c r="I854">
        <v>1567.74</v>
      </c>
      <c r="J854">
        <v>0.83</v>
      </c>
      <c r="K854">
        <v>1227.57</v>
      </c>
      <c r="L854">
        <v>340.17</v>
      </c>
    </row>
    <row r="855" spans="1:12" x14ac:dyDescent="0.25">
      <c r="A855">
        <v>854</v>
      </c>
      <c r="B855" t="s">
        <v>170</v>
      </c>
      <c r="C855" t="s">
        <v>366</v>
      </c>
      <c r="D855" t="s">
        <v>370</v>
      </c>
      <c r="E855" t="s">
        <v>461</v>
      </c>
      <c r="F855" t="s">
        <v>478</v>
      </c>
      <c r="G855">
        <v>1697</v>
      </c>
      <c r="H855">
        <v>1.02</v>
      </c>
      <c r="I855">
        <v>1730.94</v>
      </c>
      <c r="J855">
        <v>0.84</v>
      </c>
      <c r="K855">
        <v>1425.48</v>
      </c>
      <c r="L855">
        <v>305.45999999999998</v>
      </c>
    </row>
    <row r="856" spans="1:12" x14ac:dyDescent="0.25">
      <c r="A856">
        <v>855</v>
      </c>
      <c r="B856" t="s">
        <v>354</v>
      </c>
      <c r="C856" t="s">
        <v>366</v>
      </c>
      <c r="D856" t="s">
        <v>370</v>
      </c>
      <c r="E856" t="s">
        <v>456</v>
      </c>
      <c r="F856" t="s">
        <v>471</v>
      </c>
      <c r="G856">
        <v>3458</v>
      </c>
      <c r="H856">
        <v>1.0900000000000001</v>
      </c>
      <c r="I856">
        <v>3769.22</v>
      </c>
      <c r="J856">
        <v>0.9</v>
      </c>
      <c r="K856">
        <v>3112.2</v>
      </c>
      <c r="L856">
        <v>657.02</v>
      </c>
    </row>
    <row r="857" spans="1:12" x14ac:dyDescent="0.25">
      <c r="A857">
        <v>856</v>
      </c>
      <c r="B857" t="s">
        <v>266</v>
      </c>
      <c r="C857" t="s">
        <v>365</v>
      </c>
      <c r="D857" t="s">
        <v>367</v>
      </c>
      <c r="E857" t="s">
        <v>386</v>
      </c>
      <c r="F857" t="s">
        <v>490</v>
      </c>
      <c r="G857">
        <v>1129</v>
      </c>
      <c r="H857">
        <v>1.1599999999999999</v>
      </c>
      <c r="I857">
        <v>1309.6400000000001</v>
      </c>
      <c r="J857">
        <v>0.92</v>
      </c>
      <c r="K857">
        <v>1038.68</v>
      </c>
      <c r="L857">
        <v>270.95999999999998</v>
      </c>
    </row>
    <row r="858" spans="1:12" x14ac:dyDescent="0.25">
      <c r="A858">
        <v>857</v>
      </c>
      <c r="B858" t="s">
        <v>290</v>
      </c>
      <c r="C858" t="s">
        <v>366</v>
      </c>
      <c r="D858" t="s">
        <v>367</v>
      </c>
      <c r="E858" t="s">
        <v>470</v>
      </c>
      <c r="F858" t="s">
        <v>487</v>
      </c>
      <c r="G858">
        <v>3090</v>
      </c>
      <c r="H858">
        <v>1.38</v>
      </c>
      <c r="I858">
        <v>4264.2</v>
      </c>
      <c r="J858">
        <v>1.06</v>
      </c>
      <c r="K858">
        <v>3275.4</v>
      </c>
      <c r="L858">
        <v>988.8</v>
      </c>
    </row>
    <row r="859" spans="1:12" x14ac:dyDescent="0.25">
      <c r="A859">
        <v>858</v>
      </c>
      <c r="B859" t="s">
        <v>353</v>
      </c>
      <c r="C859" t="s">
        <v>365</v>
      </c>
      <c r="D859" t="s">
        <v>370</v>
      </c>
      <c r="E859" t="s">
        <v>462</v>
      </c>
      <c r="F859" t="s">
        <v>476</v>
      </c>
      <c r="G859">
        <v>3380</v>
      </c>
      <c r="H859">
        <v>1.38</v>
      </c>
      <c r="I859">
        <v>4664.3999999999996</v>
      </c>
      <c r="J859">
        <v>0.83</v>
      </c>
      <c r="K859">
        <v>2805.4</v>
      </c>
      <c r="L859">
        <v>1859</v>
      </c>
    </row>
    <row r="860" spans="1:12" x14ac:dyDescent="0.25">
      <c r="A860">
        <v>859</v>
      </c>
      <c r="B860" t="s">
        <v>239</v>
      </c>
      <c r="C860" t="s">
        <v>365</v>
      </c>
      <c r="D860" t="s">
        <v>370</v>
      </c>
      <c r="E860" t="s">
        <v>427</v>
      </c>
      <c r="F860" t="s">
        <v>483</v>
      </c>
      <c r="G860">
        <v>3875</v>
      </c>
      <c r="H860">
        <v>1.04</v>
      </c>
      <c r="I860">
        <v>4030</v>
      </c>
      <c r="J860">
        <v>0.86</v>
      </c>
      <c r="K860">
        <v>3332.5</v>
      </c>
      <c r="L860">
        <v>697.5</v>
      </c>
    </row>
    <row r="861" spans="1:12" x14ac:dyDescent="0.25">
      <c r="A861">
        <v>860</v>
      </c>
      <c r="B861" t="s">
        <v>340</v>
      </c>
      <c r="C861" t="s">
        <v>366</v>
      </c>
      <c r="D861" t="s">
        <v>368</v>
      </c>
      <c r="E861" t="s">
        <v>405</v>
      </c>
      <c r="F861" t="s">
        <v>477</v>
      </c>
      <c r="G861">
        <v>2043</v>
      </c>
      <c r="H861">
        <v>1.36</v>
      </c>
      <c r="I861">
        <v>2778.48</v>
      </c>
      <c r="J861">
        <v>1.01</v>
      </c>
      <c r="K861">
        <v>2063.4299999999998</v>
      </c>
      <c r="L861">
        <v>715.05</v>
      </c>
    </row>
    <row r="862" spans="1:12" x14ac:dyDescent="0.25">
      <c r="A862">
        <v>861</v>
      </c>
      <c r="B862" t="s">
        <v>133</v>
      </c>
      <c r="C862" t="s">
        <v>364</v>
      </c>
      <c r="D862" t="s">
        <v>367</v>
      </c>
      <c r="E862" t="s">
        <v>378</v>
      </c>
      <c r="F862" t="s">
        <v>486</v>
      </c>
      <c r="G862">
        <v>1454</v>
      </c>
      <c r="H862">
        <v>1.37</v>
      </c>
      <c r="I862">
        <v>1991.98</v>
      </c>
      <c r="J862">
        <v>1.1399999999999999</v>
      </c>
      <c r="K862">
        <v>1657.56</v>
      </c>
      <c r="L862">
        <v>334.42</v>
      </c>
    </row>
    <row r="863" spans="1:12" x14ac:dyDescent="0.25">
      <c r="A863">
        <v>862</v>
      </c>
      <c r="B863" t="s">
        <v>355</v>
      </c>
      <c r="C863" t="s">
        <v>365</v>
      </c>
      <c r="D863" t="s">
        <v>370</v>
      </c>
      <c r="E863" t="s">
        <v>454</v>
      </c>
      <c r="F863" t="s">
        <v>475</v>
      </c>
      <c r="G863">
        <v>1638</v>
      </c>
      <c r="H863">
        <v>1.37</v>
      </c>
      <c r="I863">
        <v>2244.06</v>
      </c>
      <c r="J863">
        <v>1.1299999999999999</v>
      </c>
      <c r="K863">
        <v>1850.94</v>
      </c>
      <c r="L863">
        <v>393.12</v>
      </c>
    </row>
    <row r="864" spans="1:12" x14ac:dyDescent="0.25">
      <c r="A864">
        <v>863</v>
      </c>
      <c r="B864" t="s">
        <v>25</v>
      </c>
      <c r="C864" t="s">
        <v>366</v>
      </c>
      <c r="D864" t="s">
        <v>370</v>
      </c>
      <c r="E864" t="s">
        <v>453</v>
      </c>
      <c r="F864" t="s">
        <v>482</v>
      </c>
      <c r="G864">
        <v>735</v>
      </c>
      <c r="H864">
        <v>1.32</v>
      </c>
      <c r="I864">
        <v>970.2</v>
      </c>
      <c r="J864">
        <v>0.83</v>
      </c>
      <c r="K864">
        <v>610.04999999999995</v>
      </c>
      <c r="L864">
        <v>360.15</v>
      </c>
    </row>
    <row r="865" spans="1:12" x14ac:dyDescent="0.25">
      <c r="A865">
        <v>864</v>
      </c>
      <c r="B865" t="s">
        <v>63</v>
      </c>
      <c r="C865" t="s">
        <v>366</v>
      </c>
      <c r="D865" t="s">
        <v>368</v>
      </c>
      <c r="E865" t="s">
        <v>428</v>
      </c>
      <c r="F865" t="s">
        <v>474</v>
      </c>
      <c r="G865">
        <v>2219</v>
      </c>
      <c r="H865">
        <v>0.89</v>
      </c>
      <c r="I865">
        <v>1974.91</v>
      </c>
      <c r="J865">
        <v>0.55000000000000004</v>
      </c>
      <c r="K865">
        <v>1220.45</v>
      </c>
      <c r="L865">
        <v>754.46</v>
      </c>
    </row>
    <row r="866" spans="1:12" x14ac:dyDescent="0.25">
      <c r="A866">
        <v>865</v>
      </c>
      <c r="B866" t="s">
        <v>133</v>
      </c>
      <c r="C866" t="s">
        <v>363</v>
      </c>
      <c r="D866" t="s">
        <v>367</v>
      </c>
      <c r="E866" t="s">
        <v>467</v>
      </c>
      <c r="F866" t="s">
        <v>483</v>
      </c>
      <c r="G866">
        <v>4032</v>
      </c>
      <c r="H866">
        <v>0.83</v>
      </c>
      <c r="I866">
        <v>3346.56</v>
      </c>
      <c r="J866">
        <v>0.52</v>
      </c>
      <c r="K866">
        <v>2096.64</v>
      </c>
      <c r="L866">
        <v>1249.92</v>
      </c>
    </row>
    <row r="867" spans="1:12" x14ac:dyDescent="0.25">
      <c r="A867">
        <v>866</v>
      </c>
      <c r="B867" t="s">
        <v>311</v>
      </c>
      <c r="C867" t="s">
        <v>364</v>
      </c>
      <c r="D867" t="s">
        <v>367</v>
      </c>
      <c r="E867" t="s">
        <v>459</v>
      </c>
      <c r="F867" t="s">
        <v>471</v>
      </c>
      <c r="G867">
        <v>854</v>
      </c>
      <c r="H867">
        <v>0.85</v>
      </c>
      <c r="I867">
        <v>725.9</v>
      </c>
      <c r="J867">
        <v>0.65</v>
      </c>
      <c r="K867">
        <v>555.1</v>
      </c>
      <c r="L867">
        <v>170.8</v>
      </c>
    </row>
    <row r="868" spans="1:12" x14ac:dyDescent="0.25">
      <c r="A868">
        <v>867</v>
      </c>
      <c r="B868" t="s">
        <v>281</v>
      </c>
      <c r="C868" t="s">
        <v>366</v>
      </c>
      <c r="D868" t="s">
        <v>367</v>
      </c>
      <c r="E868" t="s">
        <v>426</v>
      </c>
      <c r="F868" t="s">
        <v>485</v>
      </c>
      <c r="G868">
        <v>2013</v>
      </c>
      <c r="H868">
        <v>1.27</v>
      </c>
      <c r="I868">
        <v>2556.5100000000002</v>
      </c>
      <c r="J868">
        <v>0.77</v>
      </c>
      <c r="K868">
        <v>1550.01</v>
      </c>
      <c r="L868">
        <v>1006.5</v>
      </c>
    </row>
    <row r="869" spans="1:12" x14ac:dyDescent="0.25">
      <c r="A869">
        <v>868</v>
      </c>
      <c r="B869" t="s">
        <v>219</v>
      </c>
      <c r="C869" t="s">
        <v>365</v>
      </c>
      <c r="D869" t="s">
        <v>370</v>
      </c>
      <c r="E869" t="s">
        <v>375</v>
      </c>
      <c r="F869" t="s">
        <v>480</v>
      </c>
      <c r="G869">
        <v>4601</v>
      </c>
      <c r="H869">
        <v>1.35</v>
      </c>
      <c r="I869">
        <v>6211.35</v>
      </c>
      <c r="J869">
        <v>1.02</v>
      </c>
      <c r="K869">
        <v>4693.0200000000004</v>
      </c>
      <c r="L869">
        <v>1518.33</v>
      </c>
    </row>
    <row r="870" spans="1:12" x14ac:dyDescent="0.25">
      <c r="A870">
        <v>869</v>
      </c>
      <c r="B870" t="s">
        <v>248</v>
      </c>
      <c r="C870" t="s">
        <v>363</v>
      </c>
      <c r="D870" t="s">
        <v>367</v>
      </c>
      <c r="E870" t="s">
        <v>461</v>
      </c>
      <c r="F870" t="s">
        <v>472</v>
      </c>
      <c r="G870">
        <v>4832</v>
      </c>
      <c r="H870">
        <v>0.95</v>
      </c>
      <c r="I870">
        <v>4590.3999999999996</v>
      </c>
      <c r="J870">
        <v>0.62</v>
      </c>
      <c r="K870">
        <v>2995.84</v>
      </c>
      <c r="L870">
        <v>1594.56</v>
      </c>
    </row>
    <row r="871" spans="1:12" x14ac:dyDescent="0.25">
      <c r="A871">
        <v>870</v>
      </c>
      <c r="B871" t="s">
        <v>287</v>
      </c>
      <c r="C871" t="s">
        <v>363</v>
      </c>
      <c r="D871" t="s">
        <v>368</v>
      </c>
      <c r="E871" t="s">
        <v>451</v>
      </c>
      <c r="F871" t="s">
        <v>488</v>
      </c>
      <c r="G871">
        <v>2253</v>
      </c>
      <c r="H871">
        <v>1.44</v>
      </c>
      <c r="I871">
        <v>3244.32</v>
      </c>
      <c r="J871">
        <v>1.17</v>
      </c>
      <c r="K871">
        <v>2636.01</v>
      </c>
      <c r="L871">
        <v>608.30999999999995</v>
      </c>
    </row>
    <row r="872" spans="1:12" x14ac:dyDescent="0.25">
      <c r="A872">
        <v>871</v>
      </c>
      <c r="B872" t="s">
        <v>317</v>
      </c>
      <c r="C872" t="s">
        <v>366</v>
      </c>
      <c r="D872" t="s">
        <v>370</v>
      </c>
      <c r="E872" t="s">
        <v>396</v>
      </c>
      <c r="F872" t="s">
        <v>488</v>
      </c>
      <c r="G872">
        <v>1981</v>
      </c>
      <c r="H872">
        <v>1.38</v>
      </c>
      <c r="I872">
        <v>2733.78</v>
      </c>
      <c r="J872">
        <v>1.17</v>
      </c>
      <c r="K872">
        <v>2317.77</v>
      </c>
      <c r="L872">
        <v>416.01</v>
      </c>
    </row>
    <row r="873" spans="1:12" x14ac:dyDescent="0.25">
      <c r="A873">
        <v>872</v>
      </c>
      <c r="B873" t="s">
        <v>92</v>
      </c>
      <c r="C873" t="s">
        <v>366</v>
      </c>
      <c r="D873" t="s">
        <v>368</v>
      </c>
      <c r="E873" t="s">
        <v>438</v>
      </c>
      <c r="F873" t="s">
        <v>488</v>
      </c>
      <c r="G873">
        <v>3074</v>
      </c>
      <c r="H873">
        <v>0.89</v>
      </c>
      <c r="I873">
        <v>2735.86</v>
      </c>
      <c r="J873">
        <v>0.56000000000000005</v>
      </c>
      <c r="K873">
        <v>1721.44</v>
      </c>
      <c r="L873">
        <v>1014.42</v>
      </c>
    </row>
    <row r="874" spans="1:12" x14ac:dyDescent="0.25">
      <c r="A874">
        <v>873</v>
      </c>
      <c r="B874" t="s">
        <v>354</v>
      </c>
      <c r="C874" t="s">
        <v>365</v>
      </c>
      <c r="D874" t="s">
        <v>369</v>
      </c>
      <c r="E874" t="s">
        <v>453</v>
      </c>
      <c r="F874" t="s">
        <v>482</v>
      </c>
      <c r="G874">
        <v>832</v>
      </c>
      <c r="H874">
        <v>0.86</v>
      </c>
      <c r="I874">
        <v>715.52</v>
      </c>
      <c r="J874">
        <v>0.62</v>
      </c>
      <c r="K874">
        <v>515.84</v>
      </c>
      <c r="L874">
        <v>199.68</v>
      </c>
    </row>
    <row r="875" spans="1:12" x14ac:dyDescent="0.25">
      <c r="A875">
        <v>874</v>
      </c>
      <c r="B875" t="s">
        <v>173</v>
      </c>
      <c r="C875" t="s">
        <v>364</v>
      </c>
      <c r="D875" t="s">
        <v>370</v>
      </c>
      <c r="E875" t="s">
        <v>448</v>
      </c>
      <c r="F875" t="s">
        <v>482</v>
      </c>
      <c r="G875">
        <v>4136</v>
      </c>
      <c r="H875">
        <v>0.96</v>
      </c>
      <c r="I875">
        <v>3970.56</v>
      </c>
      <c r="J875">
        <v>0.67</v>
      </c>
      <c r="K875">
        <v>2771.12</v>
      </c>
      <c r="L875">
        <v>1199.44</v>
      </c>
    </row>
    <row r="876" spans="1:12" x14ac:dyDescent="0.25">
      <c r="A876">
        <v>875</v>
      </c>
      <c r="B876" t="s">
        <v>250</v>
      </c>
      <c r="C876" t="s">
        <v>363</v>
      </c>
      <c r="D876" t="s">
        <v>368</v>
      </c>
      <c r="E876" t="s">
        <v>393</v>
      </c>
      <c r="F876" t="s">
        <v>475</v>
      </c>
      <c r="G876">
        <v>1968</v>
      </c>
      <c r="H876">
        <v>0.81</v>
      </c>
      <c r="I876">
        <v>1594.08</v>
      </c>
      <c r="J876">
        <v>0.62</v>
      </c>
      <c r="K876">
        <v>1220.1600000000001</v>
      </c>
      <c r="L876">
        <v>373.92</v>
      </c>
    </row>
    <row r="877" spans="1:12" x14ac:dyDescent="0.25">
      <c r="A877">
        <v>876</v>
      </c>
      <c r="B877" t="s">
        <v>129</v>
      </c>
      <c r="C877" t="s">
        <v>364</v>
      </c>
      <c r="D877" t="s">
        <v>367</v>
      </c>
      <c r="E877" t="s">
        <v>396</v>
      </c>
      <c r="F877" t="s">
        <v>490</v>
      </c>
      <c r="G877">
        <v>1196</v>
      </c>
      <c r="H877">
        <v>0.88</v>
      </c>
      <c r="I877">
        <v>1052.48</v>
      </c>
      <c r="J877">
        <v>0.61</v>
      </c>
      <c r="K877">
        <v>729.56</v>
      </c>
      <c r="L877">
        <v>322.92</v>
      </c>
    </row>
    <row r="878" spans="1:12" x14ac:dyDescent="0.25">
      <c r="A878">
        <v>877</v>
      </c>
      <c r="B878" t="s">
        <v>342</v>
      </c>
      <c r="C878" t="s">
        <v>366</v>
      </c>
      <c r="D878" t="s">
        <v>367</v>
      </c>
      <c r="E878" t="s">
        <v>458</v>
      </c>
      <c r="F878" t="s">
        <v>475</v>
      </c>
      <c r="G878">
        <v>2130</v>
      </c>
      <c r="H878">
        <v>1.04</v>
      </c>
      <c r="I878">
        <v>2215.1999999999998</v>
      </c>
      <c r="J878">
        <v>0.78</v>
      </c>
      <c r="K878">
        <v>1661.4</v>
      </c>
      <c r="L878">
        <v>553.79999999999995</v>
      </c>
    </row>
    <row r="879" spans="1:12" x14ac:dyDescent="0.25">
      <c r="A879">
        <v>878</v>
      </c>
      <c r="B879" t="s">
        <v>108</v>
      </c>
      <c r="C879" t="s">
        <v>366</v>
      </c>
      <c r="D879" t="s">
        <v>367</v>
      </c>
      <c r="E879" t="s">
        <v>449</v>
      </c>
      <c r="F879" t="s">
        <v>483</v>
      </c>
      <c r="G879">
        <v>2781</v>
      </c>
      <c r="H879">
        <v>1.34</v>
      </c>
      <c r="I879">
        <v>3726.54</v>
      </c>
      <c r="J879">
        <v>1.06</v>
      </c>
      <c r="K879">
        <v>2947.86</v>
      </c>
      <c r="L879">
        <v>778.68</v>
      </c>
    </row>
    <row r="880" spans="1:12" x14ac:dyDescent="0.25">
      <c r="A880">
        <v>879</v>
      </c>
      <c r="B880" t="s">
        <v>188</v>
      </c>
      <c r="C880" t="s">
        <v>364</v>
      </c>
      <c r="D880" t="s">
        <v>370</v>
      </c>
      <c r="E880" t="s">
        <v>375</v>
      </c>
      <c r="F880" t="s">
        <v>483</v>
      </c>
      <c r="G880">
        <v>3813</v>
      </c>
      <c r="H880">
        <v>1.49</v>
      </c>
      <c r="I880">
        <v>5681.37</v>
      </c>
      <c r="J880">
        <v>1.08</v>
      </c>
      <c r="K880">
        <v>4118.04</v>
      </c>
      <c r="L880">
        <v>1563.33</v>
      </c>
    </row>
    <row r="881" spans="1:12" x14ac:dyDescent="0.25">
      <c r="A881">
        <v>880</v>
      </c>
      <c r="B881" t="s">
        <v>140</v>
      </c>
      <c r="C881" t="s">
        <v>363</v>
      </c>
      <c r="D881" t="s">
        <v>369</v>
      </c>
      <c r="E881" t="s">
        <v>459</v>
      </c>
      <c r="F881" t="s">
        <v>471</v>
      </c>
      <c r="G881">
        <v>4508</v>
      </c>
      <c r="H881">
        <v>1.1499999999999999</v>
      </c>
      <c r="I881">
        <v>5184.2</v>
      </c>
      <c r="J881">
        <v>0.87</v>
      </c>
      <c r="K881">
        <v>3921.96</v>
      </c>
      <c r="L881">
        <v>1262.24</v>
      </c>
    </row>
    <row r="882" spans="1:12" x14ac:dyDescent="0.25">
      <c r="A882">
        <v>881</v>
      </c>
      <c r="B882" t="s">
        <v>209</v>
      </c>
      <c r="C882" t="s">
        <v>363</v>
      </c>
      <c r="D882" t="s">
        <v>367</v>
      </c>
      <c r="E882" t="s">
        <v>371</v>
      </c>
      <c r="F882" t="s">
        <v>478</v>
      </c>
      <c r="G882">
        <v>1058</v>
      </c>
      <c r="H882">
        <v>1.1499999999999999</v>
      </c>
      <c r="I882">
        <v>1216.7</v>
      </c>
      <c r="J882">
        <v>0.7</v>
      </c>
      <c r="K882">
        <v>740.6</v>
      </c>
      <c r="L882">
        <v>476.1</v>
      </c>
    </row>
    <row r="883" spans="1:12" x14ac:dyDescent="0.25">
      <c r="A883">
        <v>882</v>
      </c>
      <c r="B883" t="s">
        <v>345</v>
      </c>
      <c r="C883" t="s">
        <v>365</v>
      </c>
      <c r="D883" t="s">
        <v>369</v>
      </c>
      <c r="E883" t="s">
        <v>399</v>
      </c>
      <c r="F883" t="s">
        <v>482</v>
      </c>
      <c r="G883">
        <v>1289</v>
      </c>
      <c r="H883">
        <v>1.33</v>
      </c>
      <c r="I883">
        <v>1714.37</v>
      </c>
      <c r="J883">
        <v>1.02</v>
      </c>
      <c r="K883">
        <v>1314.78</v>
      </c>
      <c r="L883">
        <v>399.59</v>
      </c>
    </row>
    <row r="884" spans="1:12" x14ac:dyDescent="0.25">
      <c r="A884">
        <v>883</v>
      </c>
      <c r="B884" t="s">
        <v>61</v>
      </c>
      <c r="C884" t="s">
        <v>364</v>
      </c>
      <c r="D884" t="s">
        <v>369</v>
      </c>
      <c r="E884" t="s">
        <v>418</v>
      </c>
      <c r="F884" t="s">
        <v>482</v>
      </c>
      <c r="G884">
        <v>4578</v>
      </c>
      <c r="H884">
        <v>1.1399999999999999</v>
      </c>
      <c r="I884">
        <v>5218.92</v>
      </c>
      <c r="J884">
        <v>0.76</v>
      </c>
      <c r="K884">
        <v>3479.28</v>
      </c>
      <c r="L884">
        <v>1739.64</v>
      </c>
    </row>
    <row r="885" spans="1:12" x14ac:dyDescent="0.25">
      <c r="A885">
        <v>884</v>
      </c>
      <c r="B885" t="s">
        <v>356</v>
      </c>
      <c r="C885" t="s">
        <v>363</v>
      </c>
      <c r="D885" t="s">
        <v>367</v>
      </c>
      <c r="E885" t="s">
        <v>416</v>
      </c>
      <c r="F885" t="s">
        <v>488</v>
      </c>
      <c r="G885">
        <v>3642</v>
      </c>
      <c r="H885">
        <v>1.1200000000000001</v>
      </c>
      <c r="I885">
        <v>4079.04</v>
      </c>
      <c r="J885">
        <v>0.91</v>
      </c>
      <c r="K885">
        <v>3314.22</v>
      </c>
      <c r="L885">
        <v>764.82</v>
      </c>
    </row>
    <row r="886" spans="1:12" x14ac:dyDescent="0.25">
      <c r="A886">
        <v>885</v>
      </c>
      <c r="B886" t="s">
        <v>326</v>
      </c>
      <c r="C886" t="s">
        <v>363</v>
      </c>
      <c r="D886" t="s">
        <v>369</v>
      </c>
      <c r="E886" t="s">
        <v>372</v>
      </c>
      <c r="F886" t="s">
        <v>480</v>
      </c>
      <c r="G886">
        <v>2982</v>
      </c>
      <c r="H886">
        <v>1.42</v>
      </c>
      <c r="I886">
        <v>4234.4399999999996</v>
      </c>
      <c r="J886">
        <v>0.91</v>
      </c>
      <c r="K886">
        <v>2713.62</v>
      </c>
      <c r="L886">
        <v>1520.82</v>
      </c>
    </row>
    <row r="887" spans="1:12" x14ac:dyDescent="0.25">
      <c r="A887">
        <v>886</v>
      </c>
      <c r="B887" t="s">
        <v>357</v>
      </c>
      <c r="C887" t="s">
        <v>365</v>
      </c>
      <c r="D887" t="s">
        <v>368</v>
      </c>
      <c r="E887" t="s">
        <v>390</v>
      </c>
      <c r="F887" t="s">
        <v>484</v>
      </c>
      <c r="G887">
        <v>4493</v>
      </c>
      <c r="H887">
        <v>1.33</v>
      </c>
      <c r="I887">
        <v>5975.69</v>
      </c>
      <c r="J887">
        <v>0.99</v>
      </c>
      <c r="K887">
        <v>4448.07</v>
      </c>
      <c r="L887">
        <v>1527.62</v>
      </c>
    </row>
    <row r="888" spans="1:12" x14ac:dyDescent="0.25">
      <c r="A888">
        <v>887</v>
      </c>
      <c r="B888" t="s">
        <v>96</v>
      </c>
      <c r="C888" t="s">
        <v>364</v>
      </c>
      <c r="D888" t="s">
        <v>369</v>
      </c>
      <c r="E888" t="s">
        <v>421</v>
      </c>
      <c r="F888" t="s">
        <v>480</v>
      </c>
      <c r="G888">
        <v>4650</v>
      </c>
      <c r="H888">
        <v>0.84</v>
      </c>
      <c r="I888">
        <v>3906</v>
      </c>
      <c r="J888">
        <v>0.56000000000000005</v>
      </c>
      <c r="K888">
        <v>2604</v>
      </c>
      <c r="L888">
        <v>1302</v>
      </c>
    </row>
    <row r="889" spans="1:12" x14ac:dyDescent="0.25">
      <c r="A889">
        <v>888</v>
      </c>
      <c r="B889" t="s">
        <v>271</v>
      </c>
      <c r="C889" t="s">
        <v>365</v>
      </c>
      <c r="D889" t="s">
        <v>369</v>
      </c>
      <c r="E889" t="s">
        <v>380</v>
      </c>
      <c r="F889" t="s">
        <v>482</v>
      </c>
      <c r="G889">
        <v>3125</v>
      </c>
      <c r="H889">
        <v>0.84</v>
      </c>
      <c r="I889">
        <v>2625</v>
      </c>
      <c r="J889">
        <v>0.63</v>
      </c>
      <c r="K889">
        <v>1968.75</v>
      </c>
      <c r="L889">
        <v>656.25</v>
      </c>
    </row>
    <row r="890" spans="1:12" x14ac:dyDescent="0.25">
      <c r="A890">
        <v>889</v>
      </c>
      <c r="B890" t="s">
        <v>63</v>
      </c>
      <c r="C890" t="s">
        <v>365</v>
      </c>
      <c r="D890" t="s">
        <v>370</v>
      </c>
      <c r="E890" t="s">
        <v>371</v>
      </c>
      <c r="F890" t="s">
        <v>479</v>
      </c>
      <c r="G890">
        <v>720</v>
      </c>
      <c r="H890">
        <v>1.34</v>
      </c>
      <c r="I890">
        <v>964.8</v>
      </c>
      <c r="J890">
        <v>1.01</v>
      </c>
      <c r="K890">
        <v>727.2</v>
      </c>
      <c r="L890">
        <v>237.6</v>
      </c>
    </row>
    <row r="891" spans="1:12" x14ac:dyDescent="0.25">
      <c r="A891">
        <v>890</v>
      </c>
      <c r="B891" t="s">
        <v>79</v>
      </c>
      <c r="C891" t="s">
        <v>364</v>
      </c>
      <c r="D891" t="s">
        <v>367</v>
      </c>
      <c r="E891" t="s">
        <v>452</v>
      </c>
      <c r="F891" t="s">
        <v>475</v>
      </c>
      <c r="G891">
        <v>3874</v>
      </c>
      <c r="H891">
        <v>1.05</v>
      </c>
      <c r="I891">
        <v>4067.7</v>
      </c>
      <c r="J891">
        <v>0.8</v>
      </c>
      <c r="K891">
        <v>3099.2</v>
      </c>
      <c r="L891">
        <v>968.5</v>
      </c>
    </row>
    <row r="892" spans="1:12" x14ac:dyDescent="0.25">
      <c r="A892">
        <v>891</v>
      </c>
      <c r="B892" t="s">
        <v>231</v>
      </c>
      <c r="C892" t="s">
        <v>365</v>
      </c>
      <c r="D892" t="s">
        <v>368</v>
      </c>
      <c r="E892" t="s">
        <v>426</v>
      </c>
      <c r="F892" t="s">
        <v>486</v>
      </c>
      <c r="G892">
        <v>1036</v>
      </c>
      <c r="H892">
        <v>1.41</v>
      </c>
      <c r="I892">
        <v>1460.76</v>
      </c>
      <c r="J892">
        <v>0.89</v>
      </c>
      <c r="K892">
        <v>922.04</v>
      </c>
      <c r="L892">
        <v>538.72</v>
      </c>
    </row>
    <row r="893" spans="1:12" x14ac:dyDescent="0.25">
      <c r="A893">
        <v>892</v>
      </c>
      <c r="B893" t="s">
        <v>66</v>
      </c>
      <c r="C893" t="s">
        <v>365</v>
      </c>
      <c r="D893" t="s">
        <v>367</v>
      </c>
      <c r="E893" t="s">
        <v>372</v>
      </c>
      <c r="F893" t="s">
        <v>473</v>
      </c>
      <c r="G893">
        <v>3960</v>
      </c>
      <c r="H893">
        <v>1.2</v>
      </c>
      <c r="I893">
        <v>4752</v>
      </c>
      <c r="J893">
        <v>0.99</v>
      </c>
      <c r="K893">
        <v>3920.4</v>
      </c>
      <c r="L893">
        <v>831.6</v>
      </c>
    </row>
    <row r="894" spans="1:12" x14ac:dyDescent="0.25">
      <c r="A894">
        <v>893</v>
      </c>
      <c r="B894" t="s">
        <v>20</v>
      </c>
      <c r="C894" t="s">
        <v>364</v>
      </c>
      <c r="D894" t="s">
        <v>367</v>
      </c>
      <c r="E894" t="s">
        <v>426</v>
      </c>
      <c r="F894" t="s">
        <v>472</v>
      </c>
      <c r="G894">
        <v>3092</v>
      </c>
      <c r="H894">
        <v>1.06</v>
      </c>
      <c r="I894">
        <v>3277.52</v>
      </c>
      <c r="J894">
        <v>0.74</v>
      </c>
      <c r="K894">
        <v>2288.08</v>
      </c>
      <c r="L894">
        <v>989.44</v>
      </c>
    </row>
    <row r="895" spans="1:12" x14ac:dyDescent="0.25">
      <c r="A895">
        <v>894</v>
      </c>
      <c r="B895" t="s">
        <v>180</v>
      </c>
      <c r="C895" t="s">
        <v>364</v>
      </c>
      <c r="D895" t="s">
        <v>367</v>
      </c>
      <c r="E895" t="s">
        <v>462</v>
      </c>
      <c r="F895" t="s">
        <v>485</v>
      </c>
      <c r="G895">
        <v>3252</v>
      </c>
      <c r="H895">
        <v>1.1499999999999999</v>
      </c>
      <c r="I895">
        <v>3739.8</v>
      </c>
      <c r="J895">
        <v>0.92</v>
      </c>
      <c r="K895">
        <v>2991.84</v>
      </c>
      <c r="L895">
        <v>747.96</v>
      </c>
    </row>
    <row r="896" spans="1:12" x14ac:dyDescent="0.25">
      <c r="A896">
        <v>895</v>
      </c>
      <c r="B896" t="s">
        <v>71</v>
      </c>
      <c r="C896" t="s">
        <v>366</v>
      </c>
      <c r="D896" t="s">
        <v>370</v>
      </c>
      <c r="E896" t="s">
        <v>422</v>
      </c>
      <c r="F896" t="s">
        <v>482</v>
      </c>
      <c r="G896">
        <v>3476</v>
      </c>
      <c r="H896">
        <v>1.48</v>
      </c>
      <c r="I896">
        <v>5144.4799999999996</v>
      </c>
      <c r="J896">
        <v>0.96</v>
      </c>
      <c r="K896">
        <v>3336.96</v>
      </c>
      <c r="L896">
        <v>1807.52</v>
      </c>
    </row>
    <row r="897" spans="1:12" x14ac:dyDescent="0.25">
      <c r="A897">
        <v>896</v>
      </c>
      <c r="B897" t="s">
        <v>277</v>
      </c>
      <c r="C897" t="s">
        <v>366</v>
      </c>
      <c r="D897" t="s">
        <v>367</v>
      </c>
      <c r="E897" t="s">
        <v>407</v>
      </c>
      <c r="F897" t="s">
        <v>471</v>
      </c>
      <c r="G897">
        <v>889</v>
      </c>
      <c r="H897">
        <v>1.01</v>
      </c>
      <c r="I897">
        <v>897.89</v>
      </c>
      <c r="J897">
        <v>0.75</v>
      </c>
      <c r="K897">
        <v>666.75</v>
      </c>
      <c r="L897">
        <v>231.14</v>
      </c>
    </row>
    <row r="898" spans="1:12" x14ac:dyDescent="0.25">
      <c r="A898">
        <v>897</v>
      </c>
      <c r="B898" t="s">
        <v>143</v>
      </c>
      <c r="C898" t="s">
        <v>363</v>
      </c>
      <c r="D898" t="s">
        <v>367</v>
      </c>
      <c r="E898" t="s">
        <v>426</v>
      </c>
      <c r="F898" t="s">
        <v>487</v>
      </c>
      <c r="G898">
        <v>2739</v>
      </c>
      <c r="H898">
        <v>0.85</v>
      </c>
      <c r="I898">
        <v>2328.15</v>
      </c>
      <c r="J898">
        <v>0.68</v>
      </c>
      <c r="K898">
        <v>1862.52</v>
      </c>
      <c r="L898">
        <v>465.63</v>
      </c>
    </row>
    <row r="899" spans="1:12" x14ac:dyDescent="0.25">
      <c r="A899">
        <v>898</v>
      </c>
      <c r="B899" t="s">
        <v>317</v>
      </c>
      <c r="C899" t="s">
        <v>366</v>
      </c>
      <c r="D899" t="s">
        <v>369</v>
      </c>
      <c r="E899" t="s">
        <v>452</v>
      </c>
      <c r="F899" t="s">
        <v>486</v>
      </c>
      <c r="G899">
        <v>2972</v>
      </c>
      <c r="H899">
        <v>1.1499999999999999</v>
      </c>
      <c r="I899">
        <v>3417.8</v>
      </c>
      <c r="J899">
        <v>0.78</v>
      </c>
      <c r="K899">
        <v>2318.16</v>
      </c>
      <c r="L899">
        <v>1099.6400000000001</v>
      </c>
    </row>
    <row r="900" spans="1:12" x14ac:dyDescent="0.25">
      <c r="A900">
        <v>899</v>
      </c>
      <c r="B900" t="s">
        <v>307</v>
      </c>
      <c r="C900" t="s">
        <v>366</v>
      </c>
      <c r="D900" t="s">
        <v>370</v>
      </c>
      <c r="E900" t="s">
        <v>419</v>
      </c>
      <c r="F900" t="s">
        <v>484</v>
      </c>
      <c r="G900">
        <v>2558</v>
      </c>
      <c r="H900">
        <v>1.24</v>
      </c>
      <c r="I900">
        <v>3171.92</v>
      </c>
      <c r="J900">
        <v>0.88</v>
      </c>
      <c r="K900">
        <v>2251.04</v>
      </c>
      <c r="L900">
        <v>920.88</v>
      </c>
    </row>
    <row r="901" spans="1:12" x14ac:dyDescent="0.25">
      <c r="A901">
        <v>900</v>
      </c>
      <c r="B901" t="s">
        <v>64</v>
      </c>
      <c r="C901" t="s">
        <v>363</v>
      </c>
      <c r="D901" t="s">
        <v>368</v>
      </c>
      <c r="E901" t="s">
        <v>384</v>
      </c>
      <c r="F901" t="s">
        <v>490</v>
      </c>
      <c r="G901">
        <v>2028</v>
      </c>
      <c r="H901">
        <v>1.2</v>
      </c>
      <c r="I901">
        <v>2433.6</v>
      </c>
      <c r="J901">
        <v>0.78</v>
      </c>
      <c r="K901">
        <v>1581.84</v>
      </c>
      <c r="L901">
        <v>851.76</v>
      </c>
    </row>
    <row r="902" spans="1:12" x14ac:dyDescent="0.25">
      <c r="A902">
        <v>901</v>
      </c>
      <c r="B902" t="s">
        <v>328</v>
      </c>
      <c r="C902" t="s">
        <v>364</v>
      </c>
      <c r="D902" t="s">
        <v>370</v>
      </c>
      <c r="E902" t="s">
        <v>433</v>
      </c>
      <c r="F902" t="s">
        <v>478</v>
      </c>
      <c r="G902">
        <v>4778</v>
      </c>
      <c r="H902">
        <v>0.94</v>
      </c>
      <c r="I902">
        <v>4491.32</v>
      </c>
      <c r="J902">
        <v>0.67</v>
      </c>
      <c r="K902">
        <v>3201.26</v>
      </c>
      <c r="L902">
        <v>1290.06</v>
      </c>
    </row>
    <row r="903" spans="1:12" x14ac:dyDescent="0.25">
      <c r="A903">
        <v>902</v>
      </c>
      <c r="B903" t="s">
        <v>168</v>
      </c>
      <c r="C903" t="s">
        <v>365</v>
      </c>
      <c r="D903" t="s">
        <v>368</v>
      </c>
      <c r="E903" t="s">
        <v>416</v>
      </c>
      <c r="F903" t="s">
        <v>481</v>
      </c>
      <c r="G903">
        <v>3110</v>
      </c>
      <c r="H903">
        <v>1.4</v>
      </c>
      <c r="I903">
        <v>4354</v>
      </c>
      <c r="J903">
        <v>1.1599999999999999</v>
      </c>
      <c r="K903">
        <v>3607.6</v>
      </c>
      <c r="L903">
        <v>746.4</v>
      </c>
    </row>
    <row r="904" spans="1:12" x14ac:dyDescent="0.25">
      <c r="A904">
        <v>903</v>
      </c>
      <c r="B904" t="s">
        <v>49</v>
      </c>
      <c r="C904" t="s">
        <v>364</v>
      </c>
      <c r="D904" t="s">
        <v>368</v>
      </c>
      <c r="E904" t="s">
        <v>412</v>
      </c>
      <c r="F904" t="s">
        <v>482</v>
      </c>
      <c r="G904">
        <v>1815</v>
      </c>
      <c r="H904">
        <v>0.98</v>
      </c>
      <c r="I904">
        <v>1778.7</v>
      </c>
      <c r="J904">
        <v>0.74</v>
      </c>
      <c r="K904">
        <v>1343.1</v>
      </c>
      <c r="L904">
        <v>435.6</v>
      </c>
    </row>
    <row r="905" spans="1:12" x14ac:dyDescent="0.25">
      <c r="A905">
        <v>904</v>
      </c>
      <c r="B905" t="s">
        <v>243</v>
      </c>
      <c r="C905" t="s">
        <v>363</v>
      </c>
      <c r="D905" t="s">
        <v>368</v>
      </c>
      <c r="E905" t="s">
        <v>399</v>
      </c>
      <c r="F905" t="s">
        <v>485</v>
      </c>
      <c r="G905">
        <v>726</v>
      </c>
      <c r="H905">
        <v>0.97</v>
      </c>
      <c r="I905">
        <v>704.22</v>
      </c>
      <c r="J905">
        <v>0.78</v>
      </c>
      <c r="K905">
        <v>566.28</v>
      </c>
      <c r="L905">
        <v>137.94</v>
      </c>
    </row>
    <row r="906" spans="1:12" x14ac:dyDescent="0.25">
      <c r="A906">
        <v>905</v>
      </c>
      <c r="B906" t="s">
        <v>191</v>
      </c>
      <c r="C906" t="s">
        <v>364</v>
      </c>
      <c r="D906" t="s">
        <v>369</v>
      </c>
      <c r="E906" t="s">
        <v>449</v>
      </c>
      <c r="F906" t="s">
        <v>478</v>
      </c>
      <c r="G906">
        <v>2154</v>
      </c>
      <c r="H906">
        <v>0.91</v>
      </c>
      <c r="I906">
        <v>1960.14</v>
      </c>
      <c r="J906">
        <v>0.57999999999999996</v>
      </c>
      <c r="K906">
        <v>1249.32</v>
      </c>
      <c r="L906">
        <v>710.82</v>
      </c>
    </row>
    <row r="907" spans="1:12" x14ac:dyDescent="0.25">
      <c r="A907">
        <v>906</v>
      </c>
      <c r="B907" t="s">
        <v>289</v>
      </c>
      <c r="C907" t="s">
        <v>366</v>
      </c>
      <c r="D907" t="s">
        <v>370</v>
      </c>
      <c r="E907" t="s">
        <v>431</v>
      </c>
      <c r="F907" t="s">
        <v>478</v>
      </c>
      <c r="G907">
        <v>4480</v>
      </c>
      <c r="H907">
        <v>1.35</v>
      </c>
      <c r="I907">
        <v>6048</v>
      </c>
      <c r="J907">
        <v>0.83</v>
      </c>
      <c r="K907">
        <v>3718.4</v>
      </c>
      <c r="L907">
        <v>2329.6</v>
      </c>
    </row>
    <row r="908" spans="1:12" x14ac:dyDescent="0.25">
      <c r="A908">
        <v>907</v>
      </c>
      <c r="B908" t="s">
        <v>174</v>
      </c>
      <c r="C908" t="s">
        <v>365</v>
      </c>
      <c r="D908" t="s">
        <v>370</v>
      </c>
      <c r="E908" t="s">
        <v>458</v>
      </c>
      <c r="F908" t="s">
        <v>481</v>
      </c>
      <c r="G908">
        <v>3477</v>
      </c>
      <c r="H908">
        <v>1.27</v>
      </c>
      <c r="I908">
        <v>4415.79</v>
      </c>
      <c r="J908">
        <v>1.04</v>
      </c>
      <c r="K908">
        <v>3616.08</v>
      </c>
      <c r="L908">
        <v>799.71</v>
      </c>
    </row>
    <row r="909" spans="1:12" x14ac:dyDescent="0.25">
      <c r="A909">
        <v>908</v>
      </c>
      <c r="B909" t="s">
        <v>226</v>
      </c>
      <c r="C909" t="s">
        <v>366</v>
      </c>
      <c r="D909" t="s">
        <v>368</v>
      </c>
      <c r="E909" t="s">
        <v>409</v>
      </c>
      <c r="F909" t="s">
        <v>479</v>
      </c>
      <c r="G909">
        <v>4598</v>
      </c>
      <c r="H909">
        <v>1.45</v>
      </c>
      <c r="I909">
        <v>6667.1</v>
      </c>
      <c r="J909">
        <v>1.06</v>
      </c>
      <c r="K909">
        <v>4873.88</v>
      </c>
      <c r="L909">
        <v>1793.22</v>
      </c>
    </row>
    <row r="910" spans="1:12" x14ac:dyDescent="0.25">
      <c r="A910">
        <v>909</v>
      </c>
      <c r="B910" t="s">
        <v>343</v>
      </c>
      <c r="C910" t="s">
        <v>364</v>
      </c>
      <c r="D910" t="s">
        <v>370</v>
      </c>
      <c r="E910" t="s">
        <v>437</v>
      </c>
      <c r="F910" t="s">
        <v>477</v>
      </c>
      <c r="G910">
        <v>1501</v>
      </c>
      <c r="H910">
        <v>1.34</v>
      </c>
      <c r="I910">
        <v>2011.34</v>
      </c>
      <c r="J910">
        <v>0.91</v>
      </c>
      <c r="K910">
        <v>1365.91</v>
      </c>
      <c r="L910">
        <v>645.42999999999995</v>
      </c>
    </row>
    <row r="911" spans="1:12" x14ac:dyDescent="0.25">
      <c r="A911">
        <v>910</v>
      </c>
      <c r="B911" t="s">
        <v>23</v>
      </c>
      <c r="C911" t="s">
        <v>366</v>
      </c>
      <c r="D911" t="s">
        <v>369</v>
      </c>
      <c r="E911" t="s">
        <v>449</v>
      </c>
      <c r="F911" t="s">
        <v>485</v>
      </c>
      <c r="G911">
        <v>1681</v>
      </c>
      <c r="H911">
        <v>0.87</v>
      </c>
      <c r="I911">
        <v>1462.47</v>
      </c>
      <c r="J911">
        <v>0.56999999999999995</v>
      </c>
      <c r="K911">
        <v>958.17</v>
      </c>
      <c r="L911">
        <v>504.3</v>
      </c>
    </row>
    <row r="912" spans="1:12" x14ac:dyDescent="0.25">
      <c r="A912">
        <v>911</v>
      </c>
      <c r="B912" t="s">
        <v>124</v>
      </c>
      <c r="C912" t="s">
        <v>364</v>
      </c>
      <c r="D912" t="s">
        <v>369</v>
      </c>
      <c r="E912" t="s">
        <v>408</v>
      </c>
      <c r="F912" t="s">
        <v>479</v>
      </c>
      <c r="G912">
        <v>958</v>
      </c>
      <c r="H912">
        <v>1.1399999999999999</v>
      </c>
      <c r="I912">
        <v>1092.1199999999999</v>
      </c>
      <c r="J912">
        <v>0.79</v>
      </c>
      <c r="K912">
        <v>756.82</v>
      </c>
      <c r="L912">
        <v>335.3</v>
      </c>
    </row>
    <row r="913" spans="1:12" x14ac:dyDescent="0.25">
      <c r="A913">
        <v>912</v>
      </c>
      <c r="B913" t="s">
        <v>212</v>
      </c>
      <c r="C913" t="s">
        <v>364</v>
      </c>
      <c r="D913" t="s">
        <v>370</v>
      </c>
      <c r="E913" t="s">
        <v>393</v>
      </c>
      <c r="F913" t="s">
        <v>477</v>
      </c>
      <c r="G913">
        <v>2775</v>
      </c>
      <c r="H913">
        <v>1.42</v>
      </c>
      <c r="I913">
        <v>3940.5</v>
      </c>
      <c r="J913">
        <v>1.18</v>
      </c>
      <c r="K913">
        <v>3274.5</v>
      </c>
      <c r="L913">
        <v>666</v>
      </c>
    </row>
    <row r="914" spans="1:12" x14ac:dyDescent="0.25">
      <c r="A914">
        <v>913</v>
      </c>
      <c r="B914" t="s">
        <v>18</v>
      </c>
      <c r="C914" t="s">
        <v>365</v>
      </c>
      <c r="D914" t="s">
        <v>369</v>
      </c>
      <c r="E914" t="s">
        <v>428</v>
      </c>
      <c r="F914" t="s">
        <v>472</v>
      </c>
      <c r="G914">
        <v>785</v>
      </c>
      <c r="H914">
        <v>1.39</v>
      </c>
      <c r="I914">
        <v>1091.1500000000001</v>
      </c>
      <c r="J914">
        <v>1.06</v>
      </c>
      <c r="K914">
        <v>832.1</v>
      </c>
      <c r="L914">
        <v>259.05</v>
      </c>
    </row>
    <row r="915" spans="1:12" x14ac:dyDescent="0.25">
      <c r="A915">
        <v>914</v>
      </c>
      <c r="B915" t="s">
        <v>229</v>
      </c>
      <c r="C915" t="s">
        <v>365</v>
      </c>
      <c r="D915" t="s">
        <v>368</v>
      </c>
      <c r="E915" t="s">
        <v>385</v>
      </c>
      <c r="F915" t="s">
        <v>484</v>
      </c>
      <c r="G915">
        <v>3033</v>
      </c>
      <c r="H915">
        <v>1.25</v>
      </c>
      <c r="I915">
        <v>3791.25</v>
      </c>
      <c r="J915">
        <v>0.97</v>
      </c>
      <c r="K915">
        <v>2942.01</v>
      </c>
      <c r="L915">
        <v>849.24</v>
      </c>
    </row>
    <row r="916" spans="1:12" x14ac:dyDescent="0.25">
      <c r="A916">
        <v>915</v>
      </c>
      <c r="B916" t="s">
        <v>171</v>
      </c>
      <c r="C916" t="s">
        <v>366</v>
      </c>
      <c r="D916" t="s">
        <v>367</v>
      </c>
      <c r="E916" t="s">
        <v>396</v>
      </c>
      <c r="F916" t="s">
        <v>484</v>
      </c>
      <c r="G916">
        <v>564</v>
      </c>
      <c r="H916">
        <v>1.44</v>
      </c>
      <c r="I916">
        <v>812.16</v>
      </c>
      <c r="J916">
        <v>1.01</v>
      </c>
      <c r="K916">
        <v>569.64</v>
      </c>
      <c r="L916">
        <v>242.52</v>
      </c>
    </row>
    <row r="917" spans="1:12" x14ac:dyDescent="0.25">
      <c r="A917">
        <v>916</v>
      </c>
      <c r="B917" t="s">
        <v>303</v>
      </c>
      <c r="C917" t="s">
        <v>363</v>
      </c>
      <c r="D917" t="s">
        <v>370</v>
      </c>
      <c r="E917" t="s">
        <v>463</v>
      </c>
      <c r="F917" t="s">
        <v>477</v>
      </c>
      <c r="G917">
        <v>2936</v>
      </c>
      <c r="H917">
        <v>0.95</v>
      </c>
      <c r="I917">
        <v>2789.2</v>
      </c>
      <c r="J917">
        <v>0.78</v>
      </c>
      <c r="K917">
        <v>2290.08</v>
      </c>
      <c r="L917">
        <v>499.12</v>
      </c>
    </row>
    <row r="918" spans="1:12" x14ac:dyDescent="0.25">
      <c r="A918">
        <v>917</v>
      </c>
      <c r="B918" t="s">
        <v>31</v>
      </c>
      <c r="C918" t="s">
        <v>364</v>
      </c>
      <c r="D918" t="s">
        <v>370</v>
      </c>
      <c r="E918" t="s">
        <v>372</v>
      </c>
      <c r="F918" t="s">
        <v>471</v>
      </c>
      <c r="G918">
        <v>1156</v>
      </c>
      <c r="H918">
        <v>1.38</v>
      </c>
      <c r="I918">
        <v>1595.28</v>
      </c>
      <c r="J918">
        <v>1.1499999999999999</v>
      </c>
      <c r="K918">
        <v>1329.4</v>
      </c>
      <c r="L918">
        <v>265.88</v>
      </c>
    </row>
    <row r="919" spans="1:12" x14ac:dyDescent="0.25">
      <c r="A919">
        <v>918</v>
      </c>
      <c r="B919" t="s">
        <v>199</v>
      </c>
      <c r="C919" t="s">
        <v>365</v>
      </c>
      <c r="D919" t="s">
        <v>369</v>
      </c>
      <c r="E919" t="s">
        <v>390</v>
      </c>
      <c r="F919" t="s">
        <v>481</v>
      </c>
      <c r="G919">
        <v>1322</v>
      </c>
      <c r="H919">
        <v>1.38</v>
      </c>
      <c r="I919">
        <v>1824.36</v>
      </c>
      <c r="J919">
        <v>1.07</v>
      </c>
      <c r="K919">
        <v>1414.54</v>
      </c>
      <c r="L919">
        <v>409.82</v>
      </c>
    </row>
    <row r="920" spans="1:12" x14ac:dyDescent="0.25">
      <c r="A920">
        <v>919</v>
      </c>
      <c r="B920" t="s">
        <v>358</v>
      </c>
      <c r="C920" t="s">
        <v>365</v>
      </c>
      <c r="D920" t="s">
        <v>367</v>
      </c>
      <c r="E920" t="s">
        <v>419</v>
      </c>
      <c r="F920" t="s">
        <v>489</v>
      </c>
      <c r="G920">
        <v>4986</v>
      </c>
      <c r="H920">
        <v>1.32</v>
      </c>
      <c r="I920">
        <v>6581.52</v>
      </c>
      <c r="J920">
        <v>0.94</v>
      </c>
      <c r="K920">
        <v>4686.84</v>
      </c>
      <c r="L920">
        <v>1894.68</v>
      </c>
    </row>
    <row r="921" spans="1:12" x14ac:dyDescent="0.25">
      <c r="A921">
        <v>920</v>
      </c>
      <c r="B921" t="s">
        <v>189</v>
      </c>
      <c r="C921" t="s">
        <v>366</v>
      </c>
      <c r="D921" t="s">
        <v>367</v>
      </c>
      <c r="E921" t="s">
        <v>384</v>
      </c>
      <c r="F921" t="s">
        <v>473</v>
      </c>
      <c r="G921">
        <v>1614</v>
      </c>
      <c r="H921">
        <v>0.8</v>
      </c>
      <c r="I921">
        <v>1291.2</v>
      </c>
      <c r="J921">
        <v>0.52</v>
      </c>
      <c r="K921">
        <v>839.28</v>
      </c>
      <c r="L921">
        <v>451.92</v>
      </c>
    </row>
    <row r="922" spans="1:12" x14ac:dyDescent="0.25">
      <c r="A922">
        <v>921</v>
      </c>
      <c r="B922" t="s">
        <v>286</v>
      </c>
      <c r="C922" t="s">
        <v>363</v>
      </c>
      <c r="D922" t="s">
        <v>370</v>
      </c>
      <c r="E922" t="s">
        <v>409</v>
      </c>
      <c r="F922" t="s">
        <v>480</v>
      </c>
      <c r="G922">
        <v>2544</v>
      </c>
      <c r="H922">
        <v>1.1599999999999999</v>
      </c>
      <c r="I922">
        <v>2951.04</v>
      </c>
      <c r="J922">
        <v>0.98</v>
      </c>
      <c r="K922">
        <v>2493.12</v>
      </c>
      <c r="L922">
        <v>457.92</v>
      </c>
    </row>
    <row r="923" spans="1:12" x14ac:dyDescent="0.25">
      <c r="A923">
        <v>922</v>
      </c>
      <c r="B923" t="s">
        <v>259</v>
      </c>
      <c r="C923" t="s">
        <v>364</v>
      </c>
      <c r="D923" t="s">
        <v>368</v>
      </c>
      <c r="E923" t="s">
        <v>404</v>
      </c>
      <c r="F923" t="s">
        <v>473</v>
      </c>
      <c r="G923">
        <v>4418</v>
      </c>
      <c r="H923">
        <v>1.41</v>
      </c>
      <c r="I923">
        <v>6229.38</v>
      </c>
      <c r="J923">
        <v>0.89</v>
      </c>
      <c r="K923">
        <v>3932.02</v>
      </c>
      <c r="L923">
        <v>2297.36</v>
      </c>
    </row>
    <row r="924" spans="1:12" x14ac:dyDescent="0.25">
      <c r="A924">
        <v>923</v>
      </c>
      <c r="B924" t="s">
        <v>247</v>
      </c>
      <c r="C924" t="s">
        <v>365</v>
      </c>
      <c r="D924" t="s">
        <v>370</v>
      </c>
      <c r="E924" t="s">
        <v>418</v>
      </c>
      <c r="F924" t="s">
        <v>486</v>
      </c>
      <c r="G924">
        <v>3895</v>
      </c>
      <c r="H924">
        <v>1.06</v>
      </c>
      <c r="I924">
        <v>4128.7</v>
      </c>
      <c r="J924">
        <v>0.74</v>
      </c>
      <c r="K924">
        <v>2882.3</v>
      </c>
      <c r="L924">
        <v>1246.4000000000001</v>
      </c>
    </row>
    <row r="925" spans="1:12" x14ac:dyDescent="0.25">
      <c r="A925">
        <v>924</v>
      </c>
      <c r="B925" t="s">
        <v>309</v>
      </c>
      <c r="C925" t="s">
        <v>363</v>
      </c>
      <c r="D925" t="s">
        <v>368</v>
      </c>
      <c r="E925" t="s">
        <v>467</v>
      </c>
      <c r="F925" t="s">
        <v>476</v>
      </c>
      <c r="G925">
        <v>2373</v>
      </c>
      <c r="H925">
        <v>1.43</v>
      </c>
      <c r="I925">
        <v>3393.39</v>
      </c>
      <c r="J925">
        <v>1.21</v>
      </c>
      <c r="K925">
        <v>2871.33</v>
      </c>
      <c r="L925">
        <v>522.05999999999995</v>
      </c>
    </row>
    <row r="926" spans="1:12" x14ac:dyDescent="0.25">
      <c r="A926">
        <v>925</v>
      </c>
      <c r="B926" t="s">
        <v>244</v>
      </c>
      <c r="C926" t="s">
        <v>366</v>
      </c>
      <c r="D926" t="s">
        <v>370</v>
      </c>
      <c r="E926" t="s">
        <v>456</v>
      </c>
      <c r="F926" t="s">
        <v>484</v>
      </c>
      <c r="G926">
        <v>4013</v>
      </c>
      <c r="H926">
        <v>1.22</v>
      </c>
      <c r="I926">
        <v>4895.8599999999997</v>
      </c>
      <c r="J926">
        <v>0.78</v>
      </c>
      <c r="K926">
        <v>3130.14</v>
      </c>
      <c r="L926">
        <v>1765.72</v>
      </c>
    </row>
    <row r="927" spans="1:12" x14ac:dyDescent="0.25">
      <c r="A927">
        <v>926</v>
      </c>
      <c r="B927" t="s">
        <v>153</v>
      </c>
      <c r="C927" t="s">
        <v>363</v>
      </c>
      <c r="D927" t="s">
        <v>368</v>
      </c>
      <c r="E927" t="s">
        <v>447</v>
      </c>
      <c r="F927" t="s">
        <v>490</v>
      </c>
      <c r="G927">
        <v>4064</v>
      </c>
      <c r="H927">
        <v>1.34</v>
      </c>
      <c r="I927">
        <v>5445.76</v>
      </c>
      <c r="J927">
        <v>1.1100000000000001</v>
      </c>
      <c r="K927">
        <v>4511.04</v>
      </c>
      <c r="L927">
        <v>934.72</v>
      </c>
    </row>
    <row r="928" spans="1:12" x14ac:dyDescent="0.25">
      <c r="A928">
        <v>927</v>
      </c>
      <c r="B928" t="s">
        <v>129</v>
      </c>
      <c r="C928" t="s">
        <v>363</v>
      </c>
      <c r="D928" t="s">
        <v>369</v>
      </c>
      <c r="E928" t="s">
        <v>373</v>
      </c>
      <c r="F928" t="s">
        <v>485</v>
      </c>
      <c r="G928">
        <v>2060</v>
      </c>
      <c r="H928">
        <v>1.46</v>
      </c>
      <c r="I928">
        <v>3007.6</v>
      </c>
      <c r="J928">
        <v>1.17</v>
      </c>
      <c r="K928">
        <v>2410.1999999999998</v>
      </c>
      <c r="L928">
        <v>597.4</v>
      </c>
    </row>
    <row r="929" spans="1:12" x14ac:dyDescent="0.25">
      <c r="A929">
        <v>928</v>
      </c>
      <c r="B929" t="s">
        <v>20</v>
      </c>
      <c r="C929" t="s">
        <v>364</v>
      </c>
      <c r="D929" t="s">
        <v>370</v>
      </c>
      <c r="E929" t="s">
        <v>464</v>
      </c>
      <c r="F929" t="s">
        <v>474</v>
      </c>
      <c r="G929">
        <v>4033</v>
      </c>
      <c r="H929">
        <v>1.4</v>
      </c>
      <c r="I929">
        <v>5646.2</v>
      </c>
      <c r="J929">
        <v>1.05</v>
      </c>
      <c r="K929">
        <v>4234.6499999999996</v>
      </c>
      <c r="L929">
        <v>1411.55</v>
      </c>
    </row>
    <row r="930" spans="1:12" x14ac:dyDescent="0.25">
      <c r="A930">
        <v>929</v>
      </c>
      <c r="B930" t="s">
        <v>287</v>
      </c>
      <c r="C930" t="s">
        <v>364</v>
      </c>
      <c r="D930" t="s">
        <v>368</v>
      </c>
      <c r="E930" t="s">
        <v>401</v>
      </c>
      <c r="F930" t="s">
        <v>481</v>
      </c>
      <c r="G930">
        <v>1695</v>
      </c>
      <c r="H930">
        <v>0.82</v>
      </c>
      <c r="I930">
        <v>1389.9</v>
      </c>
      <c r="J930">
        <v>0.69</v>
      </c>
      <c r="K930">
        <v>1169.55</v>
      </c>
      <c r="L930">
        <v>220.35</v>
      </c>
    </row>
    <row r="931" spans="1:12" x14ac:dyDescent="0.25">
      <c r="A931">
        <v>930</v>
      </c>
      <c r="B931" t="s">
        <v>67</v>
      </c>
      <c r="C931" t="s">
        <v>366</v>
      </c>
      <c r="D931" t="s">
        <v>369</v>
      </c>
      <c r="E931" t="s">
        <v>466</v>
      </c>
      <c r="F931" t="s">
        <v>479</v>
      </c>
      <c r="G931">
        <v>4253</v>
      </c>
      <c r="H931">
        <v>0.86</v>
      </c>
      <c r="I931">
        <v>3657.58</v>
      </c>
      <c r="J931">
        <v>0.62</v>
      </c>
      <c r="K931">
        <v>2636.86</v>
      </c>
      <c r="L931">
        <v>1020.72</v>
      </c>
    </row>
    <row r="932" spans="1:12" x14ac:dyDescent="0.25">
      <c r="A932">
        <v>931</v>
      </c>
      <c r="B932" t="s">
        <v>359</v>
      </c>
      <c r="C932" t="s">
        <v>366</v>
      </c>
      <c r="D932" t="s">
        <v>369</v>
      </c>
      <c r="E932" t="s">
        <v>390</v>
      </c>
      <c r="F932" t="s">
        <v>484</v>
      </c>
      <c r="G932">
        <v>3967</v>
      </c>
      <c r="H932">
        <v>1.32</v>
      </c>
      <c r="I932">
        <v>5236.4399999999996</v>
      </c>
      <c r="J932">
        <v>0.88</v>
      </c>
      <c r="K932">
        <v>3490.96</v>
      </c>
      <c r="L932">
        <v>1745.48</v>
      </c>
    </row>
    <row r="933" spans="1:12" x14ac:dyDescent="0.25">
      <c r="A933">
        <v>932</v>
      </c>
      <c r="B933" t="s">
        <v>227</v>
      </c>
      <c r="C933" t="s">
        <v>363</v>
      </c>
      <c r="D933" t="s">
        <v>367</v>
      </c>
      <c r="E933" t="s">
        <v>423</v>
      </c>
      <c r="F933" t="s">
        <v>477</v>
      </c>
      <c r="G933">
        <v>4357</v>
      </c>
      <c r="H933">
        <v>1.44</v>
      </c>
      <c r="I933">
        <v>6274.08</v>
      </c>
      <c r="J933">
        <v>1.22</v>
      </c>
      <c r="K933">
        <v>5315.54</v>
      </c>
      <c r="L933">
        <v>958.54</v>
      </c>
    </row>
    <row r="934" spans="1:12" x14ac:dyDescent="0.25">
      <c r="A934">
        <v>933</v>
      </c>
      <c r="B934" t="s">
        <v>214</v>
      </c>
      <c r="C934" t="s">
        <v>363</v>
      </c>
      <c r="D934" t="s">
        <v>367</v>
      </c>
      <c r="E934" t="s">
        <v>408</v>
      </c>
      <c r="F934" t="s">
        <v>490</v>
      </c>
      <c r="G934">
        <v>3620</v>
      </c>
      <c r="H934">
        <v>1.01</v>
      </c>
      <c r="I934">
        <v>3656.2</v>
      </c>
      <c r="J934">
        <v>0.71</v>
      </c>
      <c r="K934">
        <v>2570.1999999999998</v>
      </c>
      <c r="L934">
        <v>1086</v>
      </c>
    </row>
    <row r="935" spans="1:12" x14ac:dyDescent="0.25">
      <c r="A935">
        <v>934</v>
      </c>
      <c r="B935" t="s">
        <v>349</v>
      </c>
      <c r="C935" t="s">
        <v>363</v>
      </c>
      <c r="D935" t="s">
        <v>368</v>
      </c>
      <c r="E935" t="s">
        <v>461</v>
      </c>
      <c r="F935" t="s">
        <v>480</v>
      </c>
      <c r="G935">
        <v>2632</v>
      </c>
      <c r="H935">
        <v>0.92</v>
      </c>
      <c r="I935">
        <v>2421.44</v>
      </c>
      <c r="J935">
        <v>0.67</v>
      </c>
      <c r="K935">
        <v>1763.44</v>
      </c>
      <c r="L935">
        <v>658</v>
      </c>
    </row>
    <row r="936" spans="1:12" x14ac:dyDescent="0.25">
      <c r="A936">
        <v>935</v>
      </c>
      <c r="B936" t="s">
        <v>312</v>
      </c>
      <c r="C936" t="s">
        <v>366</v>
      </c>
      <c r="D936" t="s">
        <v>369</v>
      </c>
      <c r="E936" t="s">
        <v>437</v>
      </c>
      <c r="F936" t="s">
        <v>487</v>
      </c>
      <c r="G936">
        <v>4845</v>
      </c>
      <c r="H936">
        <v>1.1000000000000001</v>
      </c>
      <c r="I936">
        <v>5329.5</v>
      </c>
      <c r="J936">
        <v>0.73</v>
      </c>
      <c r="K936">
        <v>3536.85</v>
      </c>
      <c r="L936">
        <v>1792.65</v>
      </c>
    </row>
    <row r="937" spans="1:12" x14ac:dyDescent="0.25">
      <c r="A937">
        <v>936</v>
      </c>
      <c r="B937" t="s">
        <v>150</v>
      </c>
      <c r="C937" t="s">
        <v>366</v>
      </c>
      <c r="D937" t="s">
        <v>367</v>
      </c>
      <c r="E937" t="s">
        <v>460</v>
      </c>
      <c r="F937" t="s">
        <v>471</v>
      </c>
      <c r="G937">
        <v>3453</v>
      </c>
      <c r="H937">
        <v>1.45</v>
      </c>
      <c r="I937">
        <v>5006.8500000000004</v>
      </c>
      <c r="J937">
        <v>0.97</v>
      </c>
      <c r="K937">
        <v>3349.41</v>
      </c>
      <c r="L937">
        <v>1657.44</v>
      </c>
    </row>
    <row r="938" spans="1:12" x14ac:dyDescent="0.25">
      <c r="A938">
        <v>937</v>
      </c>
      <c r="B938" t="s">
        <v>26</v>
      </c>
      <c r="C938" t="s">
        <v>365</v>
      </c>
      <c r="D938" t="s">
        <v>370</v>
      </c>
      <c r="E938" t="s">
        <v>416</v>
      </c>
      <c r="F938" t="s">
        <v>480</v>
      </c>
      <c r="G938">
        <v>3084</v>
      </c>
      <c r="H938">
        <v>1.32</v>
      </c>
      <c r="I938">
        <v>4070.88</v>
      </c>
      <c r="J938">
        <v>0.95</v>
      </c>
      <c r="K938">
        <v>2929.8</v>
      </c>
      <c r="L938">
        <v>1141.08</v>
      </c>
    </row>
    <row r="939" spans="1:12" x14ac:dyDescent="0.25">
      <c r="A939">
        <v>938</v>
      </c>
      <c r="B939" t="s">
        <v>360</v>
      </c>
      <c r="C939" t="s">
        <v>363</v>
      </c>
      <c r="D939" t="s">
        <v>369</v>
      </c>
      <c r="E939" t="s">
        <v>395</v>
      </c>
      <c r="F939" t="s">
        <v>474</v>
      </c>
      <c r="G939">
        <v>947</v>
      </c>
      <c r="H939">
        <v>0.96</v>
      </c>
      <c r="I939">
        <v>909.12</v>
      </c>
      <c r="J939">
        <v>0.57999999999999996</v>
      </c>
      <c r="K939">
        <v>549.26</v>
      </c>
      <c r="L939">
        <v>359.86</v>
      </c>
    </row>
    <row r="940" spans="1:12" x14ac:dyDescent="0.25">
      <c r="A940">
        <v>939</v>
      </c>
      <c r="B940" t="s">
        <v>59</v>
      </c>
      <c r="C940" t="s">
        <v>364</v>
      </c>
      <c r="D940" t="s">
        <v>368</v>
      </c>
      <c r="E940" t="s">
        <v>416</v>
      </c>
      <c r="F940" t="s">
        <v>488</v>
      </c>
      <c r="G940">
        <v>4554</v>
      </c>
      <c r="H940">
        <v>0.83</v>
      </c>
      <c r="I940">
        <v>3779.82</v>
      </c>
      <c r="J940">
        <v>0.56999999999999995</v>
      </c>
      <c r="K940">
        <v>2595.7800000000002</v>
      </c>
      <c r="L940">
        <v>1184.04</v>
      </c>
    </row>
    <row r="941" spans="1:12" x14ac:dyDescent="0.25">
      <c r="A941">
        <v>940</v>
      </c>
      <c r="B941" t="s">
        <v>187</v>
      </c>
      <c r="C941" t="s">
        <v>364</v>
      </c>
      <c r="D941" t="s">
        <v>369</v>
      </c>
      <c r="E941" t="s">
        <v>460</v>
      </c>
      <c r="F941" t="s">
        <v>488</v>
      </c>
      <c r="G941">
        <v>1712</v>
      </c>
      <c r="H941">
        <v>0.89</v>
      </c>
      <c r="I941">
        <v>1523.68</v>
      </c>
      <c r="J941">
        <v>0.55000000000000004</v>
      </c>
      <c r="K941">
        <v>941.6</v>
      </c>
      <c r="L941">
        <v>582.08000000000004</v>
      </c>
    </row>
    <row r="942" spans="1:12" x14ac:dyDescent="0.25">
      <c r="A942">
        <v>941</v>
      </c>
      <c r="B942" t="s">
        <v>333</v>
      </c>
      <c r="C942" t="s">
        <v>366</v>
      </c>
      <c r="D942" t="s">
        <v>368</v>
      </c>
      <c r="E942" t="s">
        <v>432</v>
      </c>
      <c r="F942" t="s">
        <v>490</v>
      </c>
      <c r="G942">
        <v>2734</v>
      </c>
      <c r="H942">
        <v>1.19</v>
      </c>
      <c r="I942">
        <v>3253.46</v>
      </c>
      <c r="J942">
        <v>0.91</v>
      </c>
      <c r="K942">
        <v>2487.94</v>
      </c>
      <c r="L942">
        <v>765.52</v>
      </c>
    </row>
    <row r="943" spans="1:12" x14ac:dyDescent="0.25">
      <c r="A943">
        <v>942</v>
      </c>
      <c r="B943" t="s">
        <v>148</v>
      </c>
      <c r="C943" t="s">
        <v>366</v>
      </c>
      <c r="D943" t="s">
        <v>367</v>
      </c>
      <c r="E943" t="s">
        <v>419</v>
      </c>
      <c r="F943" t="s">
        <v>486</v>
      </c>
      <c r="G943">
        <v>2516</v>
      </c>
      <c r="H943">
        <v>1.34</v>
      </c>
      <c r="I943">
        <v>3371.44</v>
      </c>
      <c r="J943">
        <v>1.03</v>
      </c>
      <c r="K943">
        <v>2591.48</v>
      </c>
      <c r="L943">
        <v>779.96</v>
      </c>
    </row>
    <row r="944" spans="1:12" x14ac:dyDescent="0.25">
      <c r="A944">
        <v>943</v>
      </c>
      <c r="B944" t="s">
        <v>158</v>
      </c>
      <c r="C944" t="s">
        <v>365</v>
      </c>
      <c r="D944" t="s">
        <v>367</v>
      </c>
      <c r="E944" t="s">
        <v>411</v>
      </c>
      <c r="F944" t="s">
        <v>488</v>
      </c>
      <c r="G944">
        <v>3729</v>
      </c>
      <c r="H944">
        <v>1.06</v>
      </c>
      <c r="I944">
        <v>3952.74</v>
      </c>
      <c r="J944">
        <v>0.88</v>
      </c>
      <c r="K944">
        <v>3281.52</v>
      </c>
      <c r="L944">
        <v>671.22</v>
      </c>
    </row>
    <row r="945" spans="1:12" x14ac:dyDescent="0.25">
      <c r="A945">
        <v>944</v>
      </c>
      <c r="B945" t="s">
        <v>225</v>
      </c>
      <c r="C945" t="s">
        <v>366</v>
      </c>
      <c r="D945" t="s">
        <v>370</v>
      </c>
      <c r="E945" t="s">
        <v>435</v>
      </c>
      <c r="F945" t="s">
        <v>486</v>
      </c>
      <c r="G945">
        <v>4270</v>
      </c>
      <c r="H945">
        <v>1.38</v>
      </c>
      <c r="I945">
        <v>5892.6</v>
      </c>
      <c r="J945">
        <v>1.06</v>
      </c>
      <c r="K945">
        <v>4526.2</v>
      </c>
      <c r="L945">
        <v>1366.4</v>
      </c>
    </row>
    <row r="946" spans="1:12" x14ac:dyDescent="0.25">
      <c r="A946">
        <v>945</v>
      </c>
      <c r="B946" t="s">
        <v>134</v>
      </c>
      <c r="C946" t="s">
        <v>363</v>
      </c>
      <c r="D946" t="s">
        <v>370</v>
      </c>
      <c r="E946" t="s">
        <v>423</v>
      </c>
      <c r="F946" t="s">
        <v>478</v>
      </c>
      <c r="G946">
        <v>4211</v>
      </c>
      <c r="H946">
        <v>1.03</v>
      </c>
      <c r="I946">
        <v>4337.33</v>
      </c>
      <c r="J946">
        <v>0.81</v>
      </c>
      <c r="K946">
        <v>3410.91</v>
      </c>
      <c r="L946">
        <v>926.42</v>
      </c>
    </row>
    <row r="947" spans="1:12" x14ac:dyDescent="0.25">
      <c r="A947">
        <v>946</v>
      </c>
      <c r="B947" t="s">
        <v>293</v>
      </c>
      <c r="C947" t="s">
        <v>366</v>
      </c>
      <c r="D947" t="s">
        <v>368</v>
      </c>
      <c r="E947" t="s">
        <v>456</v>
      </c>
      <c r="F947" t="s">
        <v>482</v>
      </c>
      <c r="G947">
        <v>3147</v>
      </c>
      <c r="H947">
        <v>1.36</v>
      </c>
      <c r="I947">
        <v>4279.92</v>
      </c>
      <c r="J947">
        <v>1.07</v>
      </c>
      <c r="K947">
        <v>3367.29</v>
      </c>
      <c r="L947">
        <v>912.63</v>
      </c>
    </row>
    <row r="948" spans="1:12" x14ac:dyDescent="0.25">
      <c r="A948">
        <v>947</v>
      </c>
      <c r="B948" t="s">
        <v>64</v>
      </c>
      <c r="C948" t="s">
        <v>363</v>
      </c>
      <c r="D948" t="s">
        <v>369</v>
      </c>
      <c r="E948" t="s">
        <v>413</v>
      </c>
      <c r="F948" t="s">
        <v>471</v>
      </c>
      <c r="G948">
        <v>1958</v>
      </c>
      <c r="H948">
        <v>0.97</v>
      </c>
      <c r="I948">
        <v>1899.26</v>
      </c>
      <c r="J948">
        <v>0.77</v>
      </c>
      <c r="K948">
        <v>1507.66</v>
      </c>
      <c r="L948">
        <v>391.6</v>
      </c>
    </row>
    <row r="949" spans="1:12" x14ac:dyDescent="0.25">
      <c r="A949">
        <v>948</v>
      </c>
      <c r="B949" t="s">
        <v>69</v>
      </c>
      <c r="C949" t="s">
        <v>363</v>
      </c>
      <c r="D949" t="s">
        <v>367</v>
      </c>
      <c r="E949" t="s">
        <v>439</v>
      </c>
      <c r="F949" t="s">
        <v>480</v>
      </c>
      <c r="G949">
        <v>3682</v>
      </c>
      <c r="H949">
        <v>1.35</v>
      </c>
      <c r="I949">
        <v>4970.7</v>
      </c>
      <c r="J949">
        <v>0.91</v>
      </c>
      <c r="K949">
        <v>3350.62</v>
      </c>
      <c r="L949">
        <v>1620.08</v>
      </c>
    </row>
    <row r="950" spans="1:12" x14ac:dyDescent="0.25">
      <c r="A950">
        <v>949</v>
      </c>
      <c r="B950" t="s">
        <v>47</v>
      </c>
      <c r="C950" t="s">
        <v>363</v>
      </c>
      <c r="D950" t="s">
        <v>368</v>
      </c>
      <c r="E950" t="s">
        <v>443</v>
      </c>
      <c r="F950" t="s">
        <v>483</v>
      </c>
      <c r="G950">
        <v>4041</v>
      </c>
      <c r="H950">
        <v>1.32</v>
      </c>
      <c r="I950">
        <v>5334.12</v>
      </c>
      <c r="J950">
        <v>1.1000000000000001</v>
      </c>
      <c r="K950">
        <v>4445.1000000000004</v>
      </c>
      <c r="L950">
        <v>889.02</v>
      </c>
    </row>
    <row r="951" spans="1:12" x14ac:dyDescent="0.25">
      <c r="A951">
        <v>950</v>
      </c>
      <c r="B951" t="s">
        <v>171</v>
      </c>
      <c r="C951" t="s">
        <v>365</v>
      </c>
      <c r="D951" t="s">
        <v>368</v>
      </c>
      <c r="E951" t="s">
        <v>403</v>
      </c>
      <c r="F951" t="s">
        <v>488</v>
      </c>
      <c r="G951">
        <v>3510</v>
      </c>
      <c r="H951">
        <v>1.1599999999999999</v>
      </c>
      <c r="I951">
        <v>4071.6</v>
      </c>
      <c r="J951">
        <v>0.84</v>
      </c>
      <c r="K951">
        <v>2948.4</v>
      </c>
      <c r="L951">
        <v>1123.2</v>
      </c>
    </row>
    <row r="952" spans="1:12" x14ac:dyDescent="0.25">
      <c r="A952">
        <v>951</v>
      </c>
      <c r="B952" t="s">
        <v>155</v>
      </c>
      <c r="C952" t="s">
        <v>365</v>
      </c>
      <c r="D952" t="s">
        <v>369</v>
      </c>
      <c r="E952" t="s">
        <v>433</v>
      </c>
      <c r="F952" t="s">
        <v>489</v>
      </c>
      <c r="G952">
        <v>3965</v>
      </c>
      <c r="H952">
        <v>0.86</v>
      </c>
      <c r="I952">
        <v>3409.9</v>
      </c>
      <c r="J952">
        <v>0.61</v>
      </c>
      <c r="K952">
        <v>2418.65</v>
      </c>
      <c r="L952">
        <v>991.25</v>
      </c>
    </row>
    <row r="953" spans="1:12" x14ac:dyDescent="0.25">
      <c r="A953">
        <v>952</v>
      </c>
      <c r="B953" t="s">
        <v>153</v>
      </c>
      <c r="C953" t="s">
        <v>364</v>
      </c>
      <c r="D953" t="s">
        <v>368</v>
      </c>
      <c r="E953" t="s">
        <v>384</v>
      </c>
      <c r="F953" t="s">
        <v>481</v>
      </c>
      <c r="G953">
        <v>1261</v>
      </c>
      <c r="H953">
        <v>0.83</v>
      </c>
      <c r="I953">
        <v>1046.6300000000001</v>
      </c>
      <c r="J953">
        <v>0.56999999999999995</v>
      </c>
      <c r="K953">
        <v>718.77</v>
      </c>
      <c r="L953">
        <v>327.86</v>
      </c>
    </row>
    <row r="954" spans="1:12" x14ac:dyDescent="0.25">
      <c r="A954">
        <v>953</v>
      </c>
      <c r="B954" t="s">
        <v>191</v>
      </c>
      <c r="C954" t="s">
        <v>366</v>
      </c>
      <c r="D954" t="s">
        <v>368</v>
      </c>
      <c r="E954" t="s">
        <v>460</v>
      </c>
      <c r="F954" t="s">
        <v>490</v>
      </c>
      <c r="G954">
        <v>4798</v>
      </c>
      <c r="H954">
        <v>0.86</v>
      </c>
      <c r="I954">
        <v>4126.28</v>
      </c>
      <c r="J954">
        <v>0.62</v>
      </c>
      <c r="K954">
        <v>2974.76</v>
      </c>
      <c r="L954">
        <v>1151.52</v>
      </c>
    </row>
    <row r="955" spans="1:12" x14ac:dyDescent="0.25">
      <c r="A955">
        <v>954</v>
      </c>
      <c r="B955" t="s">
        <v>175</v>
      </c>
      <c r="C955" t="s">
        <v>365</v>
      </c>
      <c r="D955" t="s">
        <v>369</v>
      </c>
      <c r="E955" t="s">
        <v>399</v>
      </c>
      <c r="F955" t="s">
        <v>474</v>
      </c>
      <c r="G955">
        <v>2960</v>
      </c>
      <c r="H955">
        <v>1.39</v>
      </c>
      <c r="I955">
        <v>4114.3999999999996</v>
      </c>
      <c r="J955">
        <v>1.02</v>
      </c>
      <c r="K955">
        <v>3019.2</v>
      </c>
      <c r="L955">
        <v>1095.2</v>
      </c>
    </row>
    <row r="956" spans="1:12" x14ac:dyDescent="0.25">
      <c r="A956">
        <v>955</v>
      </c>
      <c r="B956" t="s">
        <v>126</v>
      </c>
      <c r="C956" t="s">
        <v>363</v>
      </c>
      <c r="D956" t="s">
        <v>367</v>
      </c>
      <c r="E956" t="s">
        <v>377</v>
      </c>
      <c r="F956" t="s">
        <v>490</v>
      </c>
      <c r="G956">
        <v>1381</v>
      </c>
      <c r="H956">
        <v>1.1599999999999999</v>
      </c>
      <c r="I956">
        <v>1601.96</v>
      </c>
      <c r="J956">
        <v>0.82</v>
      </c>
      <c r="K956">
        <v>1132.42</v>
      </c>
      <c r="L956">
        <v>469.54</v>
      </c>
    </row>
    <row r="957" spans="1:12" x14ac:dyDescent="0.25">
      <c r="A957">
        <v>956</v>
      </c>
      <c r="B957" t="s">
        <v>191</v>
      </c>
      <c r="C957" t="s">
        <v>365</v>
      </c>
      <c r="D957" t="s">
        <v>370</v>
      </c>
      <c r="E957" t="s">
        <v>408</v>
      </c>
      <c r="F957" t="s">
        <v>479</v>
      </c>
      <c r="G957">
        <v>1169</v>
      </c>
      <c r="H957">
        <v>1.34</v>
      </c>
      <c r="I957">
        <v>1566.46</v>
      </c>
      <c r="J957">
        <v>0.81</v>
      </c>
      <c r="K957">
        <v>946.89</v>
      </c>
      <c r="L957">
        <v>619.57000000000005</v>
      </c>
    </row>
    <row r="958" spans="1:12" x14ac:dyDescent="0.25">
      <c r="A958">
        <v>957</v>
      </c>
      <c r="B958" t="s">
        <v>102</v>
      </c>
      <c r="C958" t="s">
        <v>366</v>
      </c>
      <c r="D958" t="s">
        <v>369</v>
      </c>
      <c r="E958" t="s">
        <v>401</v>
      </c>
      <c r="F958" t="s">
        <v>484</v>
      </c>
      <c r="G958">
        <v>870</v>
      </c>
      <c r="H958">
        <v>0.86</v>
      </c>
      <c r="I958">
        <v>748.2</v>
      </c>
      <c r="J958">
        <v>0.7</v>
      </c>
      <c r="K958">
        <v>609</v>
      </c>
      <c r="L958">
        <v>139.19999999999999</v>
      </c>
    </row>
    <row r="959" spans="1:12" x14ac:dyDescent="0.25">
      <c r="A959">
        <v>958</v>
      </c>
      <c r="B959" t="s">
        <v>76</v>
      </c>
      <c r="C959" t="s">
        <v>364</v>
      </c>
      <c r="D959" t="s">
        <v>370</v>
      </c>
      <c r="E959" t="s">
        <v>463</v>
      </c>
      <c r="F959" t="s">
        <v>473</v>
      </c>
      <c r="G959">
        <v>2671</v>
      </c>
      <c r="H959">
        <v>1.04</v>
      </c>
      <c r="I959">
        <v>2777.84</v>
      </c>
      <c r="J959">
        <v>0.86</v>
      </c>
      <c r="K959">
        <v>2297.06</v>
      </c>
      <c r="L959">
        <v>480.78</v>
      </c>
    </row>
    <row r="960" spans="1:12" x14ac:dyDescent="0.25">
      <c r="A960">
        <v>959</v>
      </c>
      <c r="B960" t="s">
        <v>181</v>
      </c>
      <c r="C960" t="s">
        <v>366</v>
      </c>
      <c r="D960" t="s">
        <v>368</v>
      </c>
      <c r="E960" t="s">
        <v>376</v>
      </c>
      <c r="F960" t="s">
        <v>489</v>
      </c>
      <c r="G960">
        <v>2624</v>
      </c>
      <c r="H960">
        <v>1.41</v>
      </c>
      <c r="I960">
        <v>3699.84</v>
      </c>
      <c r="J960">
        <v>0.88</v>
      </c>
      <c r="K960">
        <v>2309.12</v>
      </c>
      <c r="L960">
        <v>1390.72</v>
      </c>
    </row>
    <row r="961" spans="1:12" x14ac:dyDescent="0.25">
      <c r="A961">
        <v>960</v>
      </c>
      <c r="B961" t="s">
        <v>218</v>
      </c>
      <c r="C961" t="s">
        <v>363</v>
      </c>
      <c r="D961" t="s">
        <v>367</v>
      </c>
      <c r="E961" t="s">
        <v>455</v>
      </c>
      <c r="F961" t="s">
        <v>488</v>
      </c>
      <c r="G961">
        <v>608</v>
      </c>
      <c r="H961">
        <v>0.92</v>
      </c>
      <c r="I961">
        <v>559.36</v>
      </c>
      <c r="J961">
        <v>0.66</v>
      </c>
      <c r="K961">
        <v>401.28</v>
      </c>
      <c r="L961">
        <v>158.08000000000001</v>
      </c>
    </row>
    <row r="962" spans="1:12" x14ac:dyDescent="0.25">
      <c r="A962">
        <v>961</v>
      </c>
      <c r="B962" t="s">
        <v>237</v>
      </c>
      <c r="C962" t="s">
        <v>364</v>
      </c>
      <c r="D962" t="s">
        <v>369</v>
      </c>
      <c r="E962" t="s">
        <v>443</v>
      </c>
      <c r="F962" t="s">
        <v>489</v>
      </c>
      <c r="G962">
        <v>3455</v>
      </c>
      <c r="H962">
        <v>1.28</v>
      </c>
      <c r="I962">
        <v>4422.3999999999996</v>
      </c>
      <c r="J962">
        <v>1.08</v>
      </c>
      <c r="K962">
        <v>3731.4</v>
      </c>
      <c r="L962">
        <v>691</v>
      </c>
    </row>
    <row r="963" spans="1:12" x14ac:dyDescent="0.25">
      <c r="A963">
        <v>962</v>
      </c>
      <c r="B963" t="s">
        <v>361</v>
      </c>
      <c r="C963" t="s">
        <v>365</v>
      </c>
      <c r="D963" t="s">
        <v>369</v>
      </c>
      <c r="E963" t="s">
        <v>437</v>
      </c>
      <c r="F963" t="s">
        <v>474</v>
      </c>
      <c r="G963">
        <v>1606</v>
      </c>
      <c r="H963">
        <v>0.81</v>
      </c>
      <c r="I963">
        <v>1300.8599999999999</v>
      </c>
      <c r="J963">
        <v>0.51</v>
      </c>
      <c r="K963">
        <v>819.06</v>
      </c>
      <c r="L963">
        <v>481.8</v>
      </c>
    </row>
    <row r="964" spans="1:12" x14ac:dyDescent="0.25">
      <c r="A964">
        <v>963</v>
      </c>
      <c r="B964" t="s">
        <v>170</v>
      </c>
      <c r="C964" t="s">
        <v>363</v>
      </c>
      <c r="D964" t="s">
        <v>368</v>
      </c>
      <c r="E964" t="s">
        <v>439</v>
      </c>
      <c r="F964" t="s">
        <v>483</v>
      </c>
      <c r="G964">
        <v>1689</v>
      </c>
      <c r="H964">
        <v>1.25</v>
      </c>
      <c r="I964">
        <v>2111.25</v>
      </c>
      <c r="J964">
        <v>0.89</v>
      </c>
      <c r="K964">
        <v>1503.21</v>
      </c>
      <c r="L964">
        <v>608.04</v>
      </c>
    </row>
    <row r="965" spans="1:12" x14ac:dyDescent="0.25">
      <c r="A965">
        <v>964</v>
      </c>
      <c r="B965" t="s">
        <v>72</v>
      </c>
      <c r="C965" t="s">
        <v>363</v>
      </c>
      <c r="D965" t="s">
        <v>368</v>
      </c>
      <c r="E965" t="s">
        <v>443</v>
      </c>
      <c r="F965" t="s">
        <v>473</v>
      </c>
      <c r="G965">
        <v>1713</v>
      </c>
      <c r="H965">
        <v>1.1299999999999999</v>
      </c>
      <c r="I965">
        <v>1935.69</v>
      </c>
      <c r="J965">
        <v>0.68</v>
      </c>
      <c r="K965">
        <v>1164.8399999999999</v>
      </c>
      <c r="L965">
        <v>770.85</v>
      </c>
    </row>
    <row r="966" spans="1:12" x14ac:dyDescent="0.25">
      <c r="A966">
        <v>965</v>
      </c>
      <c r="B966" t="s">
        <v>249</v>
      </c>
      <c r="C966" t="s">
        <v>364</v>
      </c>
      <c r="D966" t="s">
        <v>368</v>
      </c>
      <c r="E966" t="s">
        <v>387</v>
      </c>
      <c r="F966" t="s">
        <v>483</v>
      </c>
      <c r="G966">
        <v>660</v>
      </c>
      <c r="H966">
        <v>1.4</v>
      </c>
      <c r="I966">
        <v>924</v>
      </c>
      <c r="J966">
        <v>1.04</v>
      </c>
      <c r="K966">
        <v>686.4</v>
      </c>
      <c r="L966">
        <v>237.6</v>
      </c>
    </row>
    <row r="967" spans="1:12" x14ac:dyDescent="0.25">
      <c r="A967">
        <v>966</v>
      </c>
      <c r="B967" t="s">
        <v>254</v>
      </c>
      <c r="C967" t="s">
        <v>364</v>
      </c>
      <c r="D967" t="s">
        <v>370</v>
      </c>
      <c r="E967" t="s">
        <v>456</v>
      </c>
      <c r="F967" t="s">
        <v>487</v>
      </c>
      <c r="G967">
        <v>564</v>
      </c>
      <c r="H967">
        <v>0.87</v>
      </c>
      <c r="I967">
        <v>490.68</v>
      </c>
      <c r="J967">
        <v>0.71</v>
      </c>
      <c r="K967">
        <v>400.44</v>
      </c>
      <c r="L967">
        <v>90.24</v>
      </c>
    </row>
    <row r="968" spans="1:12" x14ac:dyDescent="0.25">
      <c r="A968">
        <v>967</v>
      </c>
      <c r="B968" t="s">
        <v>105</v>
      </c>
      <c r="C968" t="s">
        <v>364</v>
      </c>
      <c r="D968" t="s">
        <v>369</v>
      </c>
      <c r="E968" t="s">
        <v>371</v>
      </c>
      <c r="F968" t="s">
        <v>479</v>
      </c>
      <c r="G968">
        <v>2882</v>
      </c>
      <c r="H968">
        <v>0.83</v>
      </c>
      <c r="I968">
        <v>2392.06</v>
      </c>
      <c r="J968">
        <v>0.57999999999999996</v>
      </c>
      <c r="K968">
        <v>1671.56</v>
      </c>
      <c r="L968">
        <v>720.5</v>
      </c>
    </row>
    <row r="969" spans="1:12" x14ac:dyDescent="0.25">
      <c r="A969">
        <v>968</v>
      </c>
      <c r="B969" t="s">
        <v>362</v>
      </c>
      <c r="C969" t="s">
        <v>366</v>
      </c>
      <c r="D969" t="s">
        <v>369</v>
      </c>
      <c r="E969" t="s">
        <v>390</v>
      </c>
      <c r="F969" t="s">
        <v>478</v>
      </c>
      <c r="G969">
        <v>4827</v>
      </c>
      <c r="H969">
        <v>0.81</v>
      </c>
      <c r="I969">
        <v>3909.87</v>
      </c>
      <c r="J969">
        <v>0.6</v>
      </c>
      <c r="K969">
        <v>2896.2</v>
      </c>
      <c r="L969">
        <v>1013.67</v>
      </c>
    </row>
    <row r="970" spans="1:12" x14ac:dyDescent="0.25">
      <c r="A970">
        <v>969</v>
      </c>
      <c r="B970" t="s">
        <v>48</v>
      </c>
      <c r="C970" t="s">
        <v>365</v>
      </c>
      <c r="D970" t="s">
        <v>367</v>
      </c>
      <c r="E970" t="s">
        <v>431</v>
      </c>
      <c r="F970" t="s">
        <v>481</v>
      </c>
      <c r="G970">
        <v>4377</v>
      </c>
      <c r="H970">
        <v>0.88</v>
      </c>
      <c r="I970">
        <v>3851.76</v>
      </c>
      <c r="J970">
        <v>0.66</v>
      </c>
      <c r="K970">
        <v>2888.82</v>
      </c>
      <c r="L970">
        <v>962.94</v>
      </c>
    </row>
    <row r="971" spans="1:12" x14ac:dyDescent="0.25">
      <c r="A971">
        <v>970</v>
      </c>
      <c r="B971" t="s">
        <v>45</v>
      </c>
      <c r="C971" t="s">
        <v>364</v>
      </c>
      <c r="D971" t="s">
        <v>370</v>
      </c>
      <c r="E971" t="s">
        <v>429</v>
      </c>
      <c r="F971" t="s">
        <v>481</v>
      </c>
      <c r="G971">
        <v>670</v>
      </c>
      <c r="H971">
        <v>0.91</v>
      </c>
      <c r="I971">
        <v>609.70000000000005</v>
      </c>
      <c r="J971">
        <v>0.71</v>
      </c>
      <c r="K971">
        <v>475.7</v>
      </c>
      <c r="L971">
        <v>134</v>
      </c>
    </row>
    <row r="972" spans="1:12" x14ac:dyDescent="0.25">
      <c r="A972">
        <v>971</v>
      </c>
      <c r="B972" t="s">
        <v>56</v>
      </c>
      <c r="C972" t="s">
        <v>364</v>
      </c>
      <c r="D972" t="s">
        <v>370</v>
      </c>
      <c r="E972" t="s">
        <v>465</v>
      </c>
      <c r="F972" t="s">
        <v>490</v>
      </c>
      <c r="G972">
        <v>2299</v>
      </c>
      <c r="H972">
        <v>1.21</v>
      </c>
      <c r="I972">
        <v>2781.79</v>
      </c>
      <c r="J972">
        <v>0.93</v>
      </c>
      <c r="K972">
        <v>2138.0700000000002</v>
      </c>
      <c r="L972">
        <v>643.72</v>
      </c>
    </row>
    <row r="973" spans="1:12" x14ac:dyDescent="0.25">
      <c r="A973">
        <v>972</v>
      </c>
      <c r="B973" t="s">
        <v>157</v>
      </c>
      <c r="C973" t="s">
        <v>366</v>
      </c>
      <c r="D973" t="s">
        <v>369</v>
      </c>
      <c r="E973" t="s">
        <v>386</v>
      </c>
      <c r="F973" t="s">
        <v>484</v>
      </c>
      <c r="G973">
        <v>3914</v>
      </c>
      <c r="H973">
        <v>1.38</v>
      </c>
      <c r="I973">
        <v>5401.32</v>
      </c>
      <c r="J973">
        <v>1.06</v>
      </c>
      <c r="K973">
        <v>4148.84</v>
      </c>
      <c r="L973">
        <v>1252.48</v>
      </c>
    </row>
    <row r="974" spans="1:12" x14ac:dyDescent="0.25">
      <c r="A974">
        <v>973</v>
      </c>
      <c r="B974" t="s">
        <v>284</v>
      </c>
      <c r="C974" t="s">
        <v>366</v>
      </c>
      <c r="D974" t="s">
        <v>369</v>
      </c>
      <c r="E974" t="s">
        <v>402</v>
      </c>
      <c r="F974" t="s">
        <v>485</v>
      </c>
      <c r="G974">
        <v>2813</v>
      </c>
      <c r="H974">
        <v>1.28</v>
      </c>
      <c r="I974">
        <v>3600.64</v>
      </c>
      <c r="J974">
        <v>0.8</v>
      </c>
      <c r="K974">
        <v>2250.4</v>
      </c>
      <c r="L974">
        <v>1350.24</v>
      </c>
    </row>
    <row r="975" spans="1:12" x14ac:dyDescent="0.25">
      <c r="A975">
        <v>974</v>
      </c>
      <c r="B975" t="s">
        <v>242</v>
      </c>
      <c r="C975" t="s">
        <v>366</v>
      </c>
      <c r="D975" t="s">
        <v>368</v>
      </c>
      <c r="E975" t="s">
        <v>418</v>
      </c>
      <c r="F975" t="s">
        <v>480</v>
      </c>
      <c r="G975">
        <v>4531</v>
      </c>
      <c r="H975">
        <v>0.87</v>
      </c>
      <c r="I975">
        <v>3941.97</v>
      </c>
      <c r="J975">
        <v>0.61</v>
      </c>
      <c r="K975">
        <v>2763.91</v>
      </c>
      <c r="L975">
        <v>1178.06</v>
      </c>
    </row>
    <row r="976" spans="1:12" x14ac:dyDescent="0.25">
      <c r="A976">
        <v>975</v>
      </c>
      <c r="B976" t="s">
        <v>272</v>
      </c>
      <c r="C976" t="s">
        <v>366</v>
      </c>
      <c r="D976" t="s">
        <v>370</v>
      </c>
      <c r="E976" t="s">
        <v>439</v>
      </c>
      <c r="F976" t="s">
        <v>476</v>
      </c>
      <c r="G976">
        <v>885</v>
      </c>
      <c r="H976">
        <v>1.5</v>
      </c>
      <c r="I976">
        <v>1327.5</v>
      </c>
      <c r="J976">
        <v>1.03</v>
      </c>
      <c r="K976">
        <v>911.55</v>
      </c>
      <c r="L976">
        <v>415.95</v>
      </c>
    </row>
    <row r="977" spans="1:12" x14ac:dyDescent="0.25">
      <c r="A977">
        <v>976</v>
      </c>
      <c r="B977" t="s">
        <v>59</v>
      </c>
      <c r="C977" t="s">
        <v>366</v>
      </c>
      <c r="D977" t="s">
        <v>370</v>
      </c>
      <c r="E977" t="s">
        <v>445</v>
      </c>
      <c r="F977" t="s">
        <v>490</v>
      </c>
      <c r="G977">
        <v>761</v>
      </c>
      <c r="H977">
        <v>1.36</v>
      </c>
      <c r="I977">
        <v>1034.96</v>
      </c>
      <c r="J977">
        <v>0.93</v>
      </c>
      <c r="K977">
        <v>707.73</v>
      </c>
      <c r="L977">
        <v>327.23</v>
      </c>
    </row>
    <row r="978" spans="1:12" x14ac:dyDescent="0.25">
      <c r="A978">
        <v>977</v>
      </c>
      <c r="B978" t="s">
        <v>128</v>
      </c>
      <c r="C978" t="s">
        <v>363</v>
      </c>
      <c r="D978" t="s">
        <v>368</v>
      </c>
      <c r="E978" t="s">
        <v>421</v>
      </c>
      <c r="F978" t="s">
        <v>477</v>
      </c>
      <c r="G978">
        <v>4484</v>
      </c>
      <c r="H978">
        <v>0.98</v>
      </c>
      <c r="I978">
        <v>4394.32</v>
      </c>
      <c r="J978">
        <v>0.67</v>
      </c>
      <c r="K978">
        <v>3004.28</v>
      </c>
      <c r="L978">
        <v>1390.04</v>
      </c>
    </row>
    <row r="979" spans="1:12" x14ac:dyDescent="0.25">
      <c r="A979">
        <v>978</v>
      </c>
      <c r="B979" t="s">
        <v>35</v>
      </c>
      <c r="C979" t="s">
        <v>365</v>
      </c>
      <c r="D979" t="s">
        <v>367</v>
      </c>
      <c r="E979" t="s">
        <v>399</v>
      </c>
      <c r="F979" t="s">
        <v>490</v>
      </c>
      <c r="G979">
        <v>1353</v>
      </c>
      <c r="H979">
        <v>1.29</v>
      </c>
      <c r="I979">
        <v>1745.37</v>
      </c>
      <c r="J979">
        <v>1.07</v>
      </c>
      <c r="K979">
        <v>1447.71</v>
      </c>
      <c r="L979">
        <v>297.66000000000003</v>
      </c>
    </row>
    <row r="980" spans="1:12" x14ac:dyDescent="0.25">
      <c r="A980">
        <v>979</v>
      </c>
      <c r="B980" t="s">
        <v>31</v>
      </c>
      <c r="C980" t="s">
        <v>363</v>
      </c>
      <c r="D980" t="s">
        <v>369</v>
      </c>
      <c r="E980" t="s">
        <v>450</v>
      </c>
      <c r="F980" t="s">
        <v>489</v>
      </c>
      <c r="G980">
        <v>1334</v>
      </c>
      <c r="H980">
        <v>1.38</v>
      </c>
      <c r="I980">
        <v>1840.92</v>
      </c>
      <c r="J980">
        <v>0.84</v>
      </c>
      <c r="K980">
        <v>1120.56</v>
      </c>
      <c r="L980">
        <v>720.36</v>
      </c>
    </row>
    <row r="981" spans="1:12" x14ac:dyDescent="0.25">
      <c r="A981">
        <v>980</v>
      </c>
      <c r="B981" t="s">
        <v>279</v>
      </c>
      <c r="C981" t="s">
        <v>363</v>
      </c>
      <c r="D981" t="s">
        <v>368</v>
      </c>
      <c r="E981" t="s">
        <v>439</v>
      </c>
      <c r="F981" t="s">
        <v>475</v>
      </c>
      <c r="G981">
        <v>1786</v>
      </c>
      <c r="H981">
        <v>1.31</v>
      </c>
      <c r="I981">
        <v>2339.66</v>
      </c>
      <c r="J981">
        <v>1.02</v>
      </c>
      <c r="K981">
        <v>1821.72</v>
      </c>
      <c r="L981">
        <v>517.94000000000005</v>
      </c>
    </row>
    <row r="982" spans="1:12" x14ac:dyDescent="0.25">
      <c r="A982">
        <v>981</v>
      </c>
      <c r="B982" t="s">
        <v>358</v>
      </c>
      <c r="C982" t="s">
        <v>363</v>
      </c>
      <c r="D982" t="s">
        <v>369</v>
      </c>
      <c r="E982" t="s">
        <v>399</v>
      </c>
      <c r="F982" t="s">
        <v>475</v>
      </c>
      <c r="G982">
        <v>3241</v>
      </c>
      <c r="H982">
        <v>1.37</v>
      </c>
      <c r="I982">
        <v>4440.17</v>
      </c>
      <c r="J982">
        <v>0.86</v>
      </c>
      <c r="K982">
        <v>2787.26</v>
      </c>
      <c r="L982">
        <v>1652.91</v>
      </c>
    </row>
    <row r="983" spans="1:12" x14ac:dyDescent="0.25">
      <c r="A983">
        <v>982</v>
      </c>
      <c r="B983" t="s">
        <v>254</v>
      </c>
      <c r="C983" t="s">
        <v>364</v>
      </c>
      <c r="D983" t="s">
        <v>369</v>
      </c>
      <c r="E983" t="s">
        <v>380</v>
      </c>
      <c r="F983" t="s">
        <v>472</v>
      </c>
      <c r="G983">
        <v>2509</v>
      </c>
      <c r="H983">
        <v>1.38</v>
      </c>
      <c r="I983">
        <v>3462.42</v>
      </c>
      <c r="J983">
        <v>0.99</v>
      </c>
      <c r="K983">
        <v>2483.91</v>
      </c>
      <c r="L983">
        <v>978.51</v>
      </c>
    </row>
    <row r="984" spans="1:12" x14ac:dyDescent="0.25">
      <c r="A984">
        <v>983</v>
      </c>
      <c r="B984" t="s">
        <v>40</v>
      </c>
      <c r="C984" t="s">
        <v>363</v>
      </c>
      <c r="D984" t="s">
        <v>368</v>
      </c>
      <c r="E984" t="s">
        <v>412</v>
      </c>
      <c r="F984" t="s">
        <v>475</v>
      </c>
      <c r="G984">
        <v>3899</v>
      </c>
      <c r="H984">
        <v>1.05</v>
      </c>
      <c r="I984">
        <v>4093.95</v>
      </c>
      <c r="J984">
        <v>0.8</v>
      </c>
      <c r="K984">
        <v>3119.2</v>
      </c>
      <c r="L984">
        <v>974.75</v>
      </c>
    </row>
    <row r="985" spans="1:12" x14ac:dyDescent="0.25">
      <c r="A985">
        <v>984</v>
      </c>
      <c r="B985" t="s">
        <v>360</v>
      </c>
      <c r="C985" t="s">
        <v>366</v>
      </c>
      <c r="D985" t="s">
        <v>369</v>
      </c>
      <c r="E985" t="s">
        <v>457</v>
      </c>
      <c r="F985" t="s">
        <v>481</v>
      </c>
      <c r="G985">
        <v>3886</v>
      </c>
      <c r="H985">
        <v>1.44</v>
      </c>
      <c r="I985">
        <v>5595.84</v>
      </c>
      <c r="J985">
        <v>1.19</v>
      </c>
      <c r="K985">
        <v>4624.34</v>
      </c>
      <c r="L985">
        <v>971.5</v>
      </c>
    </row>
    <row r="986" spans="1:12" x14ac:dyDescent="0.25">
      <c r="A986">
        <v>985</v>
      </c>
      <c r="B986" t="s">
        <v>162</v>
      </c>
      <c r="C986" t="s">
        <v>363</v>
      </c>
      <c r="D986" t="s">
        <v>370</v>
      </c>
      <c r="E986" t="s">
        <v>396</v>
      </c>
      <c r="F986" t="s">
        <v>474</v>
      </c>
      <c r="G986">
        <v>581</v>
      </c>
      <c r="H986">
        <v>1.3</v>
      </c>
      <c r="I986">
        <v>755.3</v>
      </c>
      <c r="J986">
        <v>0.95</v>
      </c>
      <c r="K986">
        <v>551.95000000000005</v>
      </c>
      <c r="L986">
        <v>203.35</v>
      </c>
    </row>
    <row r="987" spans="1:12" x14ac:dyDescent="0.25">
      <c r="A987">
        <v>986</v>
      </c>
      <c r="B987" t="s">
        <v>29</v>
      </c>
      <c r="C987" t="s">
        <v>365</v>
      </c>
      <c r="D987" t="s">
        <v>367</v>
      </c>
      <c r="E987" t="s">
        <v>404</v>
      </c>
      <c r="F987" t="s">
        <v>484</v>
      </c>
      <c r="G987">
        <v>1846</v>
      </c>
      <c r="H987">
        <v>1.1000000000000001</v>
      </c>
      <c r="I987">
        <v>2030.6</v>
      </c>
      <c r="J987">
        <v>0.77</v>
      </c>
      <c r="K987">
        <v>1421.42</v>
      </c>
      <c r="L987">
        <v>609.17999999999995</v>
      </c>
    </row>
    <row r="988" spans="1:12" x14ac:dyDescent="0.25">
      <c r="A988">
        <v>987</v>
      </c>
      <c r="B988" t="s">
        <v>263</v>
      </c>
      <c r="C988" t="s">
        <v>363</v>
      </c>
      <c r="D988" t="s">
        <v>368</v>
      </c>
      <c r="E988" t="s">
        <v>384</v>
      </c>
      <c r="F988" t="s">
        <v>490</v>
      </c>
      <c r="G988">
        <v>2922</v>
      </c>
      <c r="H988">
        <v>1.0900000000000001</v>
      </c>
      <c r="I988">
        <v>3184.98</v>
      </c>
      <c r="J988">
        <v>0.9</v>
      </c>
      <c r="K988">
        <v>2629.8</v>
      </c>
      <c r="L988">
        <v>555.17999999999995</v>
      </c>
    </row>
    <row r="989" spans="1:12" x14ac:dyDescent="0.25">
      <c r="A989">
        <v>988</v>
      </c>
      <c r="B989" t="s">
        <v>82</v>
      </c>
      <c r="C989" t="s">
        <v>365</v>
      </c>
      <c r="D989" t="s">
        <v>370</v>
      </c>
      <c r="E989" t="s">
        <v>452</v>
      </c>
      <c r="F989" t="s">
        <v>472</v>
      </c>
      <c r="G989">
        <v>2791</v>
      </c>
      <c r="H989">
        <v>1.43</v>
      </c>
      <c r="I989">
        <v>3991.13</v>
      </c>
      <c r="J989">
        <v>1.08</v>
      </c>
      <c r="K989">
        <v>3014.28</v>
      </c>
      <c r="L989">
        <v>976.85</v>
      </c>
    </row>
    <row r="990" spans="1:12" x14ac:dyDescent="0.25">
      <c r="A990">
        <v>989</v>
      </c>
      <c r="B990" t="s">
        <v>140</v>
      </c>
      <c r="C990" t="s">
        <v>364</v>
      </c>
      <c r="D990" t="s">
        <v>369</v>
      </c>
      <c r="E990" t="s">
        <v>431</v>
      </c>
      <c r="F990" t="s">
        <v>485</v>
      </c>
      <c r="G990">
        <v>4959</v>
      </c>
      <c r="H990">
        <v>1.24</v>
      </c>
      <c r="I990">
        <v>6149.16</v>
      </c>
      <c r="J990">
        <v>0.94</v>
      </c>
      <c r="K990">
        <v>4661.46</v>
      </c>
      <c r="L990">
        <v>1487.7</v>
      </c>
    </row>
    <row r="991" spans="1:12" x14ac:dyDescent="0.25">
      <c r="A991">
        <v>990</v>
      </c>
      <c r="B991" t="s">
        <v>326</v>
      </c>
      <c r="C991" t="s">
        <v>364</v>
      </c>
      <c r="D991" t="s">
        <v>370</v>
      </c>
      <c r="E991" t="s">
        <v>427</v>
      </c>
      <c r="F991" t="s">
        <v>485</v>
      </c>
      <c r="G991">
        <v>2970</v>
      </c>
      <c r="H991">
        <v>0.86</v>
      </c>
      <c r="I991">
        <v>2554.1999999999998</v>
      </c>
      <c r="J991">
        <v>0.63</v>
      </c>
      <c r="K991">
        <v>1871.1</v>
      </c>
      <c r="L991">
        <v>683.1</v>
      </c>
    </row>
    <row r="992" spans="1:12" x14ac:dyDescent="0.25">
      <c r="A992">
        <v>991</v>
      </c>
      <c r="B992" t="s">
        <v>232</v>
      </c>
      <c r="C992" t="s">
        <v>365</v>
      </c>
      <c r="D992" t="s">
        <v>368</v>
      </c>
      <c r="E992" t="s">
        <v>381</v>
      </c>
      <c r="F992" t="s">
        <v>486</v>
      </c>
      <c r="G992">
        <v>4691</v>
      </c>
      <c r="H992">
        <v>1.19</v>
      </c>
      <c r="I992">
        <v>5582.29</v>
      </c>
      <c r="J992">
        <v>0.87</v>
      </c>
      <c r="K992">
        <v>4081.17</v>
      </c>
      <c r="L992">
        <v>1501.12</v>
      </c>
    </row>
    <row r="993" spans="1:12" x14ac:dyDescent="0.25">
      <c r="A993">
        <v>992</v>
      </c>
      <c r="B993" t="s">
        <v>277</v>
      </c>
      <c r="C993" t="s">
        <v>363</v>
      </c>
      <c r="D993" t="s">
        <v>368</v>
      </c>
      <c r="E993" t="s">
        <v>435</v>
      </c>
      <c r="F993" t="s">
        <v>476</v>
      </c>
      <c r="G993">
        <v>2619</v>
      </c>
      <c r="H993">
        <v>0.97</v>
      </c>
      <c r="I993">
        <v>2540.4299999999998</v>
      </c>
      <c r="J993">
        <v>0.77</v>
      </c>
      <c r="K993">
        <v>2016.63</v>
      </c>
      <c r="L993">
        <v>523.79999999999995</v>
      </c>
    </row>
    <row r="994" spans="1:12" x14ac:dyDescent="0.25">
      <c r="A994">
        <v>993</v>
      </c>
      <c r="B994" t="s">
        <v>30</v>
      </c>
      <c r="C994" t="s">
        <v>363</v>
      </c>
      <c r="D994" t="s">
        <v>367</v>
      </c>
      <c r="E994" t="s">
        <v>466</v>
      </c>
      <c r="F994" t="s">
        <v>471</v>
      </c>
      <c r="G994">
        <v>4657</v>
      </c>
      <c r="H994">
        <v>1.05</v>
      </c>
      <c r="I994">
        <v>4889.8500000000004</v>
      </c>
      <c r="J994">
        <v>0.64</v>
      </c>
      <c r="K994">
        <v>2980.48</v>
      </c>
      <c r="L994">
        <v>1909.37</v>
      </c>
    </row>
    <row r="995" spans="1:12" x14ac:dyDescent="0.25">
      <c r="A995">
        <v>994</v>
      </c>
      <c r="B995" t="s">
        <v>115</v>
      </c>
      <c r="C995" t="s">
        <v>364</v>
      </c>
      <c r="D995" t="s">
        <v>367</v>
      </c>
      <c r="E995" t="s">
        <v>443</v>
      </c>
      <c r="F995" t="s">
        <v>479</v>
      </c>
      <c r="G995">
        <v>542</v>
      </c>
      <c r="H995">
        <v>1.1200000000000001</v>
      </c>
      <c r="I995">
        <v>607.04</v>
      </c>
      <c r="J995">
        <v>0.95</v>
      </c>
      <c r="K995">
        <v>514.9</v>
      </c>
      <c r="L995">
        <v>92.14</v>
      </c>
    </row>
    <row r="996" spans="1:12" x14ac:dyDescent="0.25">
      <c r="A996">
        <v>995</v>
      </c>
      <c r="B996" t="s">
        <v>343</v>
      </c>
      <c r="C996" t="s">
        <v>365</v>
      </c>
      <c r="D996" t="s">
        <v>368</v>
      </c>
      <c r="E996" t="s">
        <v>443</v>
      </c>
      <c r="F996" t="s">
        <v>482</v>
      </c>
      <c r="G996">
        <v>1646</v>
      </c>
      <c r="H996">
        <v>1.3</v>
      </c>
      <c r="I996">
        <v>2139.8000000000002</v>
      </c>
      <c r="J996">
        <v>0.95</v>
      </c>
      <c r="K996">
        <v>1563.7</v>
      </c>
      <c r="L996">
        <v>576.1</v>
      </c>
    </row>
    <row r="997" spans="1:12" x14ac:dyDescent="0.25">
      <c r="A997">
        <v>996</v>
      </c>
      <c r="B997" t="s">
        <v>231</v>
      </c>
      <c r="C997" t="s">
        <v>365</v>
      </c>
      <c r="D997" t="s">
        <v>367</v>
      </c>
      <c r="E997" t="s">
        <v>430</v>
      </c>
      <c r="F997" t="s">
        <v>479</v>
      </c>
      <c r="G997">
        <v>2077</v>
      </c>
      <c r="H997">
        <v>1.38</v>
      </c>
      <c r="I997">
        <v>2866.26</v>
      </c>
      <c r="J997">
        <v>0.95</v>
      </c>
      <c r="K997">
        <v>1973.15</v>
      </c>
      <c r="L997">
        <v>893.11</v>
      </c>
    </row>
    <row r="998" spans="1:12" x14ac:dyDescent="0.25">
      <c r="A998">
        <v>997</v>
      </c>
      <c r="B998" t="s">
        <v>330</v>
      </c>
      <c r="C998" t="s">
        <v>364</v>
      </c>
      <c r="D998" t="s">
        <v>368</v>
      </c>
      <c r="E998" t="s">
        <v>438</v>
      </c>
      <c r="F998" t="s">
        <v>486</v>
      </c>
      <c r="G998">
        <v>1255</v>
      </c>
      <c r="H998">
        <v>0.84</v>
      </c>
      <c r="I998">
        <v>1054.2</v>
      </c>
      <c r="J998">
        <v>0.69</v>
      </c>
      <c r="K998">
        <v>865.95</v>
      </c>
      <c r="L998">
        <v>188.25</v>
      </c>
    </row>
    <row r="999" spans="1:12" x14ac:dyDescent="0.25">
      <c r="A999">
        <v>998</v>
      </c>
      <c r="B999" t="s">
        <v>317</v>
      </c>
      <c r="C999" t="s">
        <v>364</v>
      </c>
      <c r="D999" t="s">
        <v>368</v>
      </c>
      <c r="E999" t="s">
        <v>392</v>
      </c>
      <c r="F999" t="s">
        <v>475</v>
      </c>
      <c r="G999">
        <v>4811</v>
      </c>
      <c r="H999">
        <v>1.08</v>
      </c>
      <c r="I999">
        <v>5195.88</v>
      </c>
      <c r="J999">
        <v>0.8</v>
      </c>
      <c r="K999">
        <v>3848.8</v>
      </c>
      <c r="L999">
        <v>1347.08</v>
      </c>
    </row>
    <row r="1000" spans="1:12" x14ac:dyDescent="0.25">
      <c r="A1000">
        <v>999</v>
      </c>
      <c r="B1000" t="s">
        <v>325</v>
      </c>
      <c r="C1000" t="s">
        <v>364</v>
      </c>
      <c r="D1000" t="s">
        <v>370</v>
      </c>
      <c r="E1000" t="s">
        <v>436</v>
      </c>
      <c r="F1000" t="s">
        <v>481</v>
      </c>
      <c r="G1000">
        <v>4105</v>
      </c>
      <c r="H1000">
        <v>1.28</v>
      </c>
      <c r="I1000">
        <v>5254.4</v>
      </c>
      <c r="J1000">
        <v>1.07</v>
      </c>
      <c r="K1000">
        <v>4392.3500000000004</v>
      </c>
      <c r="L1000">
        <v>862.05</v>
      </c>
    </row>
    <row r="1001" spans="1:12" x14ac:dyDescent="0.25">
      <c r="A1001">
        <v>1000</v>
      </c>
      <c r="B1001" t="s">
        <v>190</v>
      </c>
      <c r="C1001" t="s">
        <v>366</v>
      </c>
      <c r="D1001" t="s">
        <v>368</v>
      </c>
      <c r="E1001" t="s">
        <v>405</v>
      </c>
      <c r="F1001" t="s">
        <v>474</v>
      </c>
      <c r="G1001">
        <v>4471</v>
      </c>
      <c r="H1001">
        <v>1.3</v>
      </c>
      <c r="I1001">
        <v>5812.3</v>
      </c>
      <c r="J1001">
        <v>0.82</v>
      </c>
      <c r="K1001">
        <v>3666.22</v>
      </c>
      <c r="L1001">
        <v>2146.08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A2" workbookViewId="0">
      <selection activeCell="F15" sqref="F15"/>
    </sheetView>
  </sheetViews>
  <sheetFormatPr defaultRowHeight="15" x14ac:dyDescent="0.25"/>
  <cols>
    <col min="1" max="1" width="18.7109375" bestFit="1" customWidth="1"/>
    <col min="2" max="2" width="10.42578125" bestFit="1" customWidth="1"/>
    <col min="3" max="3" width="10.42578125" customWidth="1"/>
    <col min="4" max="4" width="11.7109375" bestFit="1" customWidth="1"/>
    <col min="5" max="5" width="12.42578125" bestFit="1" customWidth="1"/>
    <col min="6" max="6" width="14.140625" bestFit="1" customWidth="1"/>
    <col min="7" max="7" width="14.5703125" bestFit="1" customWidth="1"/>
    <col min="8" max="8" width="13.28515625" bestFit="1" customWidth="1"/>
    <col min="9" max="9" width="19" bestFit="1" customWidth="1"/>
    <col min="10" max="10" width="13.42578125" bestFit="1" customWidth="1"/>
    <col min="11" max="11" width="18.42578125" bestFit="1" customWidth="1"/>
    <col min="12" max="12" width="14.85546875" bestFit="1" customWidth="1"/>
    <col min="13" max="13" width="10.5703125" bestFit="1" customWidth="1"/>
  </cols>
  <sheetData>
    <row r="1" spans="1:14" x14ac:dyDescent="0.25">
      <c r="A1" s="1" t="s">
        <v>0</v>
      </c>
      <c r="B1" s="1" t="s">
        <v>1</v>
      </c>
      <c r="C1" s="1" t="s">
        <v>491</v>
      </c>
      <c r="D1" s="1" t="s">
        <v>492</v>
      </c>
      <c r="E1" s="1" t="s">
        <v>2</v>
      </c>
      <c r="F1" s="1" t="s">
        <v>3</v>
      </c>
      <c r="G1" s="1" t="s">
        <v>4</v>
      </c>
      <c r="H1" s="1" t="s">
        <v>5</v>
      </c>
      <c r="I1" s="1" t="s">
        <v>6</v>
      </c>
      <c r="J1" s="1" t="s">
        <v>7</v>
      </c>
      <c r="K1" s="1" t="s">
        <v>8</v>
      </c>
      <c r="L1" s="1" t="s">
        <v>9</v>
      </c>
      <c r="M1" s="1" t="s">
        <v>10</v>
      </c>
      <c r="N1" s="1" t="s">
        <v>11</v>
      </c>
    </row>
    <row r="2" spans="1:14" x14ac:dyDescent="0.25">
      <c r="A2">
        <v>1</v>
      </c>
      <c r="B2" t="s">
        <v>12</v>
      </c>
      <c r="C2" t="str">
        <f t="shared" ref="C2:C65" si="0">TEXT(B2,"mmm")</f>
        <v>Nov</v>
      </c>
      <c r="D2">
        <f>YEAR(SalesData[[#This Row],[Date]])</f>
        <v>2024</v>
      </c>
      <c r="E2" t="s">
        <v>363</v>
      </c>
      <c r="F2" t="s">
        <v>367</v>
      </c>
      <c r="G2" t="s">
        <v>371</v>
      </c>
      <c r="H2" t="s">
        <v>471</v>
      </c>
      <c r="I2">
        <v>2506</v>
      </c>
      <c r="J2">
        <v>0.96</v>
      </c>
      <c r="K2">
        <v>2405.7600000000002</v>
      </c>
      <c r="L2">
        <v>0.75</v>
      </c>
      <c r="M2">
        <v>1879.5</v>
      </c>
      <c r="N2">
        <v>526.26</v>
      </c>
    </row>
    <row r="3" spans="1:14" x14ac:dyDescent="0.25">
      <c r="A3">
        <v>2</v>
      </c>
      <c r="B3" t="s">
        <v>13</v>
      </c>
      <c r="C3" t="str">
        <f t="shared" si="0"/>
        <v>Dec</v>
      </c>
      <c r="D3">
        <f>YEAR(SalesData[[#This Row],[Date]])</f>
        <v>2024</v>
      </c>
      <c r="E3" t="s">
        <v>364</v>
      </c>
      <c r="F3" t="s">
        <v>367</v>
      </c>
      <c r="G3" t="s">
        <v>372</v>
      </c>
      <c r="H3" t="s">
        <v>472</v>
      </c>
      <c r="I3">
        <v>1267</v>
      </c>
      <c r="J3">
        <v>0.95</v>
      </c>
      <c r="K3">
        <v>1203.6500000000001</v>
      </c>
      <c r="L3">
        <v>0.69</v>
      </c>
      <c r="M3">
        <v>874.23</v>
      </c>
      <c r="N3">
        <v>329.42</v>
      </c>
    </row>
    <row r="4" spans="1:14" x14ac:dyDescent="0.25">
      <c r="A4">
        <v>3</v>
      </c>
      <c r="B4" t="s">
        <v>14</v>
      </c>
      <c r="C4" t="str">
        <f t="shared" si="0"/>
        <v>Jan</v>
      </c>
      <c r="D4">
        <f>YEAR(SalesData[[#This Row],[Date]])</f>
        <v>2024</v>
      </c>
      <c r="E4" t="s">
        <v>364</v>
      </c>
      <c r="F4" t="s">
        <v>368</v>
      </c>
      <c r="G4" t="s">
        <v>373</v>
      </c>
      <c r="H4" t="s">
        <v>473</v>
      </c>
      <c r="I4">
        <v>2778</v>
      </c>
      <c r="J4">
        <v>1.37</v>
      </c>
      <c r="K4">
        <v>3805.86</v>
      </c>
      <c r="L4">
        <v>0.82</v>
      </c>
      <c r="M4">
        <v>2277.96</v>
      </c>
      <c r="N4">
        <v>1527.9</v>
      </c>
    </row>
    <row r="5" spans="1:14" x14ac:dyDescent="0.25">
      <c r="A5">
        <v>4</v>
      </c>
      <c r="B5" t="s">
        <v>15</v>
      </c>
      <c r="C5" t="str">
        <f t="shared" si="0"/>
        <v>Mar</v>
      </c>
      <c r="D5">
        <f>YEAR(SalesData[[#This Row],[Date]])</f>
        <v>2024</v>
      </c>
      <c r="E5" t="s">
        <v>365</v>
      </c>
      <c r="F5" t="s">
        <v>369</v>
      </c>
      <c r="G5" t="s">
        <v>374</v>
      </c>
      <c r="H5" t="s">
        <v>474</v>
      </c>
      <c r="I5">
        <v>2263</v>
      </c>
      <c r="J5">
        <v>1.47</v>
      </c>
      <c r="K5">
        <v>3326.61</v>
      </c>
      <c r="L5">
        <v>1.01</v>
      </c>
      <c r="M5">
        <v>2285.63</v>
      </c>
      <c r="N5">
        <v>1040.98</v>
      </c>
    </row>
    <row r="6" spans="1:14" x14ac:dyDescent="0.25">
      <c r="A6">
        <v>5</v>
      </c>
      <c r="B6" t="s">
        <v>16</v>
      </c>
      <c r="C6" t="str">
        <f t="shared" si="0"/>
        <v>Feb</v>
      </c>
      <c r="D6">
        <f>YEAR(SalesData[[#This Row],[Date]])</f>
        <v>2024</v>
      </c>
      <c r="E6" t="s">
        <v>363</v>
      </c>
      <c r="F6" t="s">
        <v>369</v>
      </c>
      <c r="G6" t="s">
        <v>375</v>
      </c>
      <c r="H6" t="s">
        <v>475</v>
      </c>
      <c r="I6">
        <v>2666</v>
      </c>
      <c r="J6">
        <v>1.36</v>
      </c>
      <c r="K6">
        <v>3625.76</v>
      </c>
      <c r="L6">
        <v>1.06</v>
      </c>
      <c r="M6">
        <v>2825.96</v>
      </c>
      <c r="N6">
        <v>799.8</v>
      </c>
    </row>
    <row r="7" spans="1:14" x14ac:dyDescent="0.25">
      <c r="A7">
        <v>6</v>
      </c>
      <c r="B7" t="s">
        <v>17</v>
      </c>
      <c r="C7" t="str">
        <f t="shared" si="0"/>
        <v>Oct</v>
      </c>
      <c r="D7">
        <f>YEAR(SalesData[[#This Row],[Date]])</f>
        <v>2024</v>
      </c>
      <c r="E7" t="s">
        <v>364</v>
      </c>
      <c r="F7" t="s">
        <v>367</v>
      </c>
      <c r="G7" t="s">
        <v>376</v>
      </c>
      <c r="H7" t="s">
        <v>476</v>
      </c>
      <c r="I7">
        <v>2901</v>
      </c>
      <c r="J7">
        <v>1.38</v>
      </c>
      <c r="K7">
        <v>4003.38</v>
      </c>
      <c r="L7">
        <v>1.04</v>
      </c>
      <c r="M7">
        <v>3017.04</v>
      </c>
      <c r="N7">
        <v>986.34</v>
      </c>
    </row>
    <row r="8" spans="1:14" x14ac:dyDescent="0.25">
      <c r="A8">
        <v>7</v>
      </c>
      <c r="B8" t="s">
        <v>18</v>
      </c>
      <c r="C8" t="str">
        <f t="shared" si="0"/>
        <v>Jul</v>
      </c>
      <c r="D8">
        <f>YEAR(SalesData[[#This Row],[Date]])</f>
        <v>2024</v>
      </c>
      <c r="E8" t="s">
        <v>363</v>
      </c>
      <c r="F8" t="s">
        <v>368</v>
      </c>
      <c r="G8" t="s">
        <v>377</v>
      </c>
      <c r="H8" t="s">
        <v>477</v>
      </c>
      <c r="I8">
        <v>2870</v>
      </c>
      <c r="J8">
        <v>1.49</v>
      </c>
      <c r="K8">
        <v>4276.3</v>
      </c>
      <c r="L8">
        <v>1.21</v>
      </c>
      <c r="M8">
        <v>3472.7</v>
      </c>
      <c r="N8">
        <v>803.6</v>
      </c>
    </row>
    <row r="9" spans="1:14" x14ac:dyDescent="0.25">
      <c r="A9">
        <v>8</v>
      </c>
      <c r="B9" t="s">
        <v>19</v>
      </c>
      <c r="C9" t="str">
        <f t="shared" si="0"/>
        <v>Feb</v>
      </c>
      <c r="D9">
        <f>YEAR(SalesData[[#This Row],[Date]])</f>
        <v>2024</v>
      </c>
      <c r="E9" t="s">
        <v>365</v>
      </c>
      <c r="F9" t="s">
        <v>369</v>
      </c>
      <c r="G9" t="s">
        <v>378</v>
      </c>
      <c r="H9" t="s">
        <v>475</v>
      </c>
      <c r="I9">
        <v>1832</v>
      </c>
      <c r="J9">
        <v>1.06</v>
      </c>
      <c r="K9">
        <v>1941.92</v>
      </c>
      <c r="L9">
        <v>0.69</v>
      </c>
      <c r="M9">
        <v>1264.08</v>
      </c>
      <c r="N9">
        <v>677.84</v>
      </c>
    </row>
    <row r="10" spans="1:14" x14ac:dyDescent="0.25">
      <c r="A10">
        <v>9</v>
      </c>
      <c r="B10" t="s">
        <v>20</v>
      </c>
      <c r="C10" t="str">
        <f t="shared" si="0"/>
        <v>May</v>
      </c>
      <c r="D10">
        <f>YEAR(SalesData[[#This Row],[Date]])</f>
        <v>2024</v>
      </c>
      <c r="E10" t="s">
        <v>366</v>
      </c>
      <c r="F10" t="s">
        <v>367</v>
      </c>
      <c r="G10" t="s">
        <v>379</v>
      </c>
      <c r="H10" t="s">
        <v>477</v>
      </c>
      <c r="I10">
        <v>1838</v>
      </c>
      <c r="J10">
        <v>1.1200000000000001</v>
      </c>
      <c r="K10">
        <v>2058.56</v>
      </c>
      <c r="L10">
        <v>0.75</v>
      </c>
      <c r="M10">
        <v>1378.5</v>
      </c>
      <c r="N10">
        <v>680.06</v>
      </c>
    </row>
    <row r="11" spans="1:14" x14ac:dyDescent="0.25">
      <c r="A11">
        <v>10</v>
      </c>
      <c r="B11" t="s">
        <v>12</v>
      </c>
      <c r="C11" t="str">
        <f t="shared" si="0"/>
        <v>Nov</v>
      </c>
      <c r="D11">
        <f>YEAR(SalesData[[#This Row],[Date]])</f>
        <v>2024</v>
      </c>
      <c r="E11" t="s">
        <v>365</v>
      </c>
      <c r="F11" t="s">
        <v>368</v>
      </c>
      <c r="G11" t="s">
        <v>380</v>
      </c>
      <c r="H11" t="s">
        <v>478</v>
      </c>
      <c r="I11">
        <v>2376</v>
      </c>
      <c r="J11">
        <v>1.38</v>
      </c>
      <c r="K11">
        <v>3278.88</v>
      </c>
      <c r="L11">
        <v>1.1100000000000001</v>
      </c>
      <c r="M11">
        <v>2637.36</v>
      </c>
      <c r="N11">
        <v>641.52</v>
      </c>
    </row>
    <row r="12" spans="1:14" x14ac:dyDescent="0.25">
      <c r="A12">
        <v>11</v>
      </c>
      <c r="B12" t="s">
        <v>21</v>
      </c>
      <c r="C12" t="str">
        <f t="shared" si="0"/>
        <v>Jul</v>
      </c>
      <c r="D12">
        <f>YEAR(SalesData[[#This Row],[Date]])</f>
        <v>2024</v>
      </c>
      <c r="E12" t="s">
        <v>363</v>
      </c>
      <c r="F12" t="s">
        <v>370</v>
      </c>
      <c r="G12" t="s">
        <v>381</v>
      </c>
      <c r="H12" t="s">
        <v>479</v>
      </c>
      <c r="I12">
        <v>3077</v>
      </c>
      <c r="J12">
        <v>0.95</v>
      </c>
      <c r="K12">
        <v>2923.15</v>
      </c>
      <c r="L12">
        <v>0.69</v>
      </c>
      <c r="M12">
        <v>2123.13</v>
      </c>
      <c r="N12">
        <v>800.02</v>
      </c>
    </row>
    <row r="13" spans="1:14" x14ac:dyDescent="0.25">
      <c r="A13">
        <v>12</v>
      </c>
      <c r="B13" t="s">
        <v>22</v>
      </c>
      <c r="C13" t="str">
        <f t="shared" si="0"/>
        <v>Nov</v>
      </c>
      <c r="D13">
        <f>YEAR(SalesData[[#This Row],[Date]])</f>
        <v>2024</v>
      </c>
      <c r="E13" t="s">
        <v>366</v>
      </c>
      <c r="F13" t="s">
        <v>369</v>
      </c>
      <c r="G13" t="s">
        <v>382</v>
      </c>
      <c r="H13" t="s">
        <v>474</v>
      </c>
      <c r="I13">
        <v>2520</v>
      </c>
      <c r="J13">
        <v>1.32</v>
      </c>
      <c r="K13">
        <v>3326.4</v>
      </c>
      <c r="L13">
        <v>0.97</v>
      </c>
      <c r="M13">
        <v>2444.4</v>
      </c>
      <c r="N13">
        <v>882</v>
      </c>
    </row>
    <row r="14" spans="1:14" x14ac:dyDescent="0.25">
      <c r="A14">
        <v>13</v>
      </c>
      <c r="B14" t="s">
        <v>23</v>
      </c>
      <c r="C14" t="str">
        <f t="shared" si="0"/>
        <v>Oct</v>
      </c>
      <c r="D14">
        <f>YEAR(SalesData[[#This Row],[Date]])</f>
        <v>2024</v>
      </c>
      <c r="E14" t="s">
        <v>364</v>
      </c>
      <c r="F14" t="s">
        <v>369</v>
      </c>
      <c r="G14" t="s">
        <v>383</v>
      </c>
      <c r="H14" t="s">
        <v>477</v>
      </c>
      <c r="I14">
        <v>1633</v>
      </c>
      <c r="J14">
        <v>1.1599999999999999</v>
      </c>
      <c r="K14">
        <v>1894.28</v>
      </c>
      <c r="L14">
        <v>0.72</v>
      </c>
      <c r="M14">
        <v>1175.76</v>
      </c>
      <c r="N14">
        <v>718.52</v>
      </c>
    </row>
    <row r="15" spans="1:14" x14ac:dyDescent="0.25">
      <c r="A15">
        <v>14</v>
      </c>
      <c r="B15" t="s">
        <v>24</v>
      </c>
      <c r="C15" t="str">
        <f t="shared" si="0"/>
        <v>Jan</v>
      </c>
      <c r="D15">
        <f>YEAR(SalesData[[#This Row],[Date]])</f>
        <v>2024</v>
      </c>
      <c r="E15" t="s">
        <v>366</v>
      </c>
      <c r="F15" t="s">
        <v>367</v>
      </c>
      <c r="G15" t="s">
        <v>384</v>
      </c>
      <c r="H15" t="s">
        <v>480</v>
      </c>
      <c r="I15">
        <v>3958</v>
      </c>
      <c r="J15">
        <v>1.22</v>
      </c>
      <c r="K15">
        <v>4828.76</v>
      </c>
      <c r="L15">
        <v>0.85</v>
      </c>
      <c r="M15">
        <v>3364.3</v>
      </c>
      <c r="N15">
        <v>1464.46</v>
      </c>
    </row>
    <row r="16" spans="1:14" x14ac:dyDescent="0.25">
      <c r="A16">
        <v>15</v>
      </c>
      <c r="B16" t="s">
        <v>25</v>
      </c>
      <c r="C16" t="str">
        <f t="shared" si="0"/>
        <v>Nov</v>
      </c>
      <c r="D16">
        <f>YEAR(SalesData[[#This Row],[Date]])</f>
        <v>2024</v>
      </c>
      <c r="E16" t="s">
        <v>365</v>
      </c>
      <c r="F16" t="s">
        <v>369</v>
      </c>
      <c r="G16" t="s">
        <v>385</v>
      </c>
      <c r="H16" t="s">
        <v>472</v>
      </c>
      <c r="I16">
        <v>1438</v>
      </c>
      <c r="J16">
        <v>1.28</v>
      </c>
      <c r="K16">
        <v>1840.64</v>
      </c>
      <c r="L16">
        <v>0.94</v>
      </c>
      <c r="M16">
        <v>1351.72</v>
      </c>
      <c r="N16">
        <v>488.92</v>
      </c>
    </row>
    <row r="17" spans="1:14" x14ac:dyDescent="0.25">
      <c r="A17">
        <v>16</v>
      </c>
      <c r="B17" t="s">
        <v>20</v>
      </c>
      <c r="C17" t="str">
        <f t="shared" si="0"/>
        <v>May</v>
      </c>
      <c r="D17">
        <f>YEAR(SalesData[[#This Row],[Date]])</f>
        <v>2024</v>
      </c>
      <c r="E17" t="s">
        <v>363</v>
      </c>
      <c r="F17" t="s">
        <v>370</v>
      </c>
      <c r="G17" t="s">
        <v>386</v>
      </c>
      <c r="H17" t="s">
        <v>481</v>
      </c>
      <c r="I17">
        <v>1795</v>
      </c>
      <c r="J17">
        <v>1.1200000000000001</v>
      </c>
      <c r="K17">
        <v>2010.4</v>
      </c>
      <c r="L17">
        <v>0.94</v>
      </c>
      <c r="M17">
        <v>1687.3</v>
      </c>
      <c r="N17">
        <v>323.10000000000002</v>
      </c>
    </row>
    <row r="18" spans="1:14" x14ac:dyDescent="0.25">
      <c r="A18">
        <v>17</v>
      </c>
      <c r="B18" t="s">
        <v>26</v>
      </c>
      <c r="C18" t="str">
        <f t="shared" si="0"/>
        <v>May</v>
      </c>
      <c r="D18">
        <f>YEAR(SalesData[[#This Row],[Date]])</f>
        <v>2024</v>
      </c>
      <c r="E18" t="s">
        <v>363</v>
      </c>
      <c r="F18" t="s">
        <v>368</v>
      </c>
      <c r="G18" t="s">
        <v>384</v>
      </c>
      <c r="H18" t="s">
        <v>482</v>
      </c>
      <c r="I18">
        <v>4658</v>
      </c>
      <c r="J18">
        <v>1.23</v>
      </c>
      <c r="K18">
        <v>5729.34</v>
      </c>
      <c r="L18">
        <v>0.78</v>
      </c>
      <c r="M18">
        <v>3633.24</v>
      </c>
      <c r="N18">
        <v>2096.1</v>
      </c>
    </row>
    <row r="19" spans="1:14" x14ac:dyDescent="0.25">
      <c r="A19">
        <v>18</v>
      </c>
      <c r="B19" t="s">
        <v>27</v>
      </c>
      <c r="C19" t="str">
        <f t="shared" si="0"/>
        <v>Mar</v>
      </c>
      <c r="D19">
        <f>YEAR(SalesData[[#This Row],[Date]])</f>
        <v>2024</v>
      </c>
      <c r="E19" t="s">
        <v>365</v>
      </c>
      <c r="F19" t="s">
        <v>367</v>
      </c>
      <c r="G19" t="s">
        <v>387</v>
      </c>
      <c r="H19" t="s">
        <v>472</v>
      </c>
      <c r="I19">
        <v>1416</v>
      </c>
      <c r="J19">
        <v>1.45</v>
      </c>
      <c r="K19">
        <v>2053.1999999999998</v>
      </c>
      <c r="L19">
        <v>1.19</v>
      </c>
      <c r="M19">
        <v>1685.04</v>
      </c>
      <c r="N19">
        <v>368.16</v>
      </c>
    </row>
    <row r="20" spans="1:14" x14ac:dyDescent="0.25">
      <c r="A20">
        <v>19</v>
      </c>
      <c r="B20" t="s">
        <v>28</v>
      </c>
      <c r="C20" t="str">
        <f t="shared" si="0"/>
        <v>Jun</v>
      </c>
      <c r="D20">
        <f>YEAR(SalesData[[#This Row],[Date]])</f>
        <v>2024</v>
      </c>
      <c r="E20" t="s">
        <v>363</v>
      </c>
      <c r="F20" t="s">
        <v>368</v>
      </c>
      <c r="G20" t="s">
        <v>388</v>
      </c>
      <c r="H20" t="s">
        <v>479</v>
      </c>
      <c r="I20">
        <v>1145</v>
      </c>
      <c r="J20">
        <v>0.86</v>
      </c>
      <c r="K20">
        <v>984.7</v>
      </c>
      <c r="L20">
        <v>0.62</v>
      </c>
      <c r="M20">
        <v>709.9</v>
      </c>
      <c r="N20">
        <v>274.8</v>
      </c>
    </row>
    <row r="21" spans="1:14" x14ac:dyDescent="0.25">
      <c r="A21">
        <v>20</v>
      </c>
      <c r="B21" t="s">
        <v>29</v>
      </c>
      <c r="C21" t="str">
        <f t="shared" si="0"/>
        <v>Feb</v>
      </c>
      <c r="D21">
        <f>YEAR(SalesData[[#This Row],[Date]])</f>
        <v>2024</v>
      </c>
      <c r="E21" t="s">
        <v>366</v>
      </c>
      <c r="F21" t="s">
        <v>368</v>
      </c>
      <c r="G21" t="s">
        <v>389</v>
      </c>
      <c r="H21" t="s">
        <v>483</v>
      </c>
      <c r="I21">
        <v>1852</v>
      </c>
      <c r="J21">
        <v>0.99</v>
      </c>
      <c r="K21">
        <v>1833.48</v>
      </c>
      <c r="L21">
        <v>0.81</v>
      </c>
      <c r="M21">
        <v>1500.12</v>
      </c>
      <c r="N21">
        <v>333.36</v>
      </c>
    </row>
    <row r="22" spans="1:14" x14ac:dyDescent="0.25">
      <c r="A22">
        <v>21</v>
      </c>
      <c r="B22" t="s">
        <v>30</v>
      </c>
      <c r="C22" t="str">
        <f t="shared" si="0"/>
        <v>Aug</v>
      </c>
      <c r="D22">
        <f>YEAR(SalesData[[#This Row],[Date]])</f>
        <v>2024</v>
      </c>
      <c r="E22" t="s">
        <v>366</v>
      </c>
      <c r="F22" t="s">
        <v>368</v>
      </c>
      <c r="G22" t="s">
        <v>390</v>
      </c>
      <c r="H22" t="s">
        <v>482</v>
      </c>
      <c r="I22">
        <v>3768</v>
      </c>
      <c r="J22">
        <v>1.5</v>
      </c>
      <c r="K22">
        <v>5652</v>
      </c>
      <c r="L22">
        <v>1.1399999999999999</v>
      </c>
      <c r="M22">
        <v>4295.5200000000004</v>
      </c>
      <c r="N22">
        <v>1356.48</v>
      </c>
    </row>
    <row r="23" spans="1:14" x14ac:dyDescent="0.25">
      <c r="A23">
        <v>22</v>
      </c>
      <c r="B23" t="s">
        <v>31</v>
      </c>
      <c r="C23" t="str">
        <f t="shared" si="0"/>
        <v>Aug</v>
      </c>
      <c r="D23">
        <f>YEAR(SalesData[[#This Row],[Date]])</f>
        <v>2024</v>
      </c>
      <c r="E23" t="s">
        <v>363</v>
      </c>
      <c r="F23" t="s">
        <v>369</v>
      </c>
      <c r="G23" t="s">
        <v>391</v>
      </c>
      <c r="H23" t="s">
        <v>477</v>
      </c>
      <c r="I23">
        <v>1024</v>
      </c>
      <c r="J23">
        <v>1.04</v>
      </c>
      <c r="K23">
        <v>1064.96</v>
      </c>
      <c r="L23">
        <v>0.78</v>
      </c>
      <c r="M23">
        <v>798.72</v>
      </c>
      <c r="N23">
        <v>266.24</v>
      </c>
    </row>
    <row r="24" spans="1:14" x14ac:dyDescent="0.25">
      <c r="A24">
        <v>23</v>
      </c>
      <c r="B24" t="s">
        <v>32</v>
      </c>
      <c r="C24" t="str">
        <f t="shared" si="0"/>
        <v>Apr</v>
      </c>
      <c r="D24">
        <f>YEAR(SalesData[[#This Row],[Date]])</f>
        <v>2024</v>
      </c>
      <c r="E24" t="s">
        <v>363</v>
      </c>
      <c r="F24" t="s">
        <v>368</v>
      </c>
      <c r="G24" t="s">
        <v>392</v>
      </c>
      <c r="H24" t="s">
        <v>478</v>
      </c>
      <c r="I24">
        <v>2375</v>
      </c>
      <c r="J24">
        <v>0.85</v>
      </c>
      <c r="K24">
        <v>2018.75</v>
      </c>
      <c r="L24">
        <v>0.52</v>
      </c>
      <c r="M24">
        <v>1235</v>
      </c>
      <c r="N24">
        <v>783.75</v>
      </c>
    </row>
    <row r="25" spans="1:14" x14ac:dyDescent="0.25">
      <c r="A25">
        <v>24</v>
      </c>
      <c r="B25" t="s">
        <v>33</v>
      </c>
      <c r="C25" t="str">
        <f t="shared" si="0"/>
        <v>Jun</v>
      </c>
      <c r="D25">
        <f>YEAR(SalesData[[#This Row],[Date]])</f>
        <v>2024</v>
      </c>
      <c r="E25" t="s">
        <v>366</v>
      </c>
      <c r="F25" t="s">
        <v>367</v>
      </c>
      <c r="G25" t="s">
        <v>374</v>
      </c>
      <c r="H25" t="s">
        <v>483</v>
      </c>
      <c r="I25">
        <v>2255</v>
      </c>
      <c r="J25">
        <v>1.18</v>
      </c>
      <c r="K25">
        <v>2660.9</v>
      </c>
      <c r="L25">
        <v>0.92</v>
      </c>
      <c r="M25">
        <v>2074.6</v>
      </c>
      <c r="N25">
        <v>586.29999999999995</v>
      </c>
    </row>
    <row r="26" spans="1:14" x14ac:dyDescent="0.25">
      <c r="A26">
        <v>25</v>
      </c>
      <c r="B26" t="s">
        <v>34</v>
      </c>
      <c r="C26" t="str">
        <f t="shared" si="0"/>
        <v>Oct</v>
      </c>
      <c r="D26">
        <f>YEAR(SalesData[[#This Row],[Date]])</f>
        <v>2024</v>
      </c>
      <c r="E26" t="s">
        <v>366</v>
      </c>
      <c r="F26" t="s">
        <v>369</v>
      </c>
      <c r="G26" t="s">
        <v>393</v>
      </c>
      <c r="H26" t="s">
        <v>481</v>
      </c>
      <c r="I26">
        <v>2059</v>
      </c>
      <c r="J26">
        <v>0.87</v>
      </c>
      <c r="K26">
        <v>1791.33</v>
      </c>
      <c r="L26">
        <v>0.67</v>
      </c>
      <c r="M26">
        <v>1379.53</v>
      </c>
      <c r="N26">
        <v>411.8</v>
      </c>
    </row>
    <row r="27" spans="1:14" x14ac:dyDescent="0.25">
      <c r="A27">
        <v>26</v>
      </c>
      <c r="B27" t="s">
        <v>35</v>
      </c>
      <c r="C27" t="str">
        <f t="shared" si="0"/>
        <v>Jun</v>
      </c>
      <c r="D27">
        <f>YEAR(SalesData[[#This Row],[Date]])</f>
        <v>2024</v>
      </c>
      <c r="E27" t="s">
        <v>364</v>
      </c>
      <c r="F27" t="s">
        <v>369</v>
      </c>
      <c r="G27" t="s">
        <v>394</v>
      </c>
      <c r="H27" t="s">
        <v>478</v>
      </c>
      <c r="I27">
        <v>1306</v>
      </c>
      <c r="J27">
        <v>0.84</v>
      </c>
      <c r="K27">
        <v>1097.04</v>
      </c>
      <c r="L27">
        <v>0.66</v>
      </c>
      <c r="M27">
        <v>861.96</v>
      </c>
      <c r="N27">
        <v>235.08</v>
      </c>
    </row>
    <row r="28" spans="1:14" x14ac:dyDescent="0.25">
      <c r="A28">
        <v>27</v>
      </c>
      <c r="B28" t="s">
        <v>36</v>
      </c>
      <c r="C28" t="str">
        <f t="shared" si="0"/>
        <v>Feb</v>
      </c>
      <c r="D28">
        <f>YEAR(SalesData[[#This Row],[Date]])</f>
        <v>2024</v>
      </c>
      <c r="E28" t="s">
        <v>366</v>
      </c>
      <c r="F28" t="s">
        <v>368</v>
      </c>
      <c r="G28" t="s">
        <v>395</v>
      </c>
      <c r="H28" t="s">
        <v>476</v>
      </c>
      <c r="I28">
        <v>4175</v>
      </c>
      <c r="J28">
        <v>0.9</v>
      </c>
      <c r="K28">
        <v>3757.5</v>
      </c>
      <c r="L28">
        <v>0.57999999999999996</v>
      </c>
      <c r="M28">
        <v>2421.5</v>
      </c>
      <c r="N28">
        <v>1336</v>
      </c>
    </row>
    <row r="29" spans="1:14" x14ac:dyDescent="0.25">
      <c r="A29">
        <v>28</v>
      </c>
      <c r="B29" t="s">
        <v>37</v>
      </c>
      <c r="C29" t="str">
        <f t="shared" si="0"/>
        <v>Aug</v>
      </c>
      <c r="D29">
        <f>YEAR(SalesData[[#This Row],[Date]])</f>
        <v>2024</v>
      </c>
      <c r="E29" t="s">
        <v>363</v>
      </c>
      <c r="F29" t="s">
        <v>368</v>
      </c>
      <c r="G29" t="s">
        <v>396</v>
      </c>
      <c r="H29" t="s">
        <v>476</v>
      </c>
      <c r="I29">
        <v>1302</v>
      </c>
      <c r="J29">
        <v>0.84</v>
      </c>
      <c r="K29">
        <v>1093.68</v>
      </c>
      <c r="L29">
        <v>0.71</v>
      </c>
      <c r="M29">
        <v>924.42</v>
      </c>
      <c r="N29">
        <v>169.26</v>
      </c>
    </row>
    <row r="30" spans="1:14" x14ac:dyDescent="0.25">
      <c r="A30">
        <v>29</v>
      </c>
      <c r="B30" t="s">
        <v>38</v>
      </c>
      <c r="C30" t="str">
        <f t="shared" si="0"/>
        <v>Jan</v>
      </c>
      <c r="D30">
        <f>YEAR(SalesData[[#This Row],[Date]])</f>
        <v>2024</v>
      </c>
      <c r="E30" t="s">
        <v>366</v>
      </c>
      <c r="F30" t="s">
        <v>367</v>
      </c>
      <c r="G30" t="s">
        <v>397</v>
      </c>
      <c r="H30" t="s">
        <v>481</v>
      </c>
      <c r="I30">
        <v>4478</v>
      </c>
      <c r="J30">
        <v>1.1399999999999999</v>
      </c>
      <c r="K30">
        <v>5104.92</v>
      </c>
      <c r="L30">
        <v>0.93</v>
      </c>
      <c r="M30">
        <v>4164.54</v>
      </c>
      <c r="N30">
        <v>940.38</v>
      </c>
    </row>
    <row r="31" spans="1:14" x14ac:dyDescent="0.25">
      <c r="A31">
        <v>30</v>
      </c>
      <c r="B31" t="s">
        <v>39</v>
      </c>
      <c r="C31" t="str">
        <f t="shared" si="0"/>
        <v>Jan</v>
      </c>
      <c r="D31">
        <f>YEAR(SalesData[[#This Row],[Date]])</f>
        <v>2024</v>
      </c>
      <c r="E31" t="s">
        <v>364</v>
      </c>
      <c r="F31" t="s">
        <v>368</v>
      </c>
      <c r="G31" t="s">
        <v>398</v>
      </c>
      <c r="H31" t="s">
        <v>484</v>
      </c>
      <c r="I31">
        <v>2672</v>
      </c>
      <c r="J31">
        <v>1.45</v>
      </c>
      <c r="K31">
        <v>3874.4</v>
      </c>
      <c r="L31">
        <v>1.1499999999999999</v>
      </c>
      <c r="M31">
        <v>3072.8</v>
      </c>
      <c r="N31">
        <v>801.6</v>
      </c>
    </row>
    <row r="32" spans="1:14" x14ac:dyDescent="0.25">
      <c r="A32">
        <v>31</v>
      </c>
      <c r="B32" t="s">
        <v>40</v>
      </c>
      <c r="C32" t="str">
        <f t="shared" si="0"/>
        <v>May</v>
      </c>
      <c r="D32">
        <f>YEAR(SalesData[[#This Row],[Date]])</f>
        <v>2024</v>
      </c>
      <c r="E32" t="s">
        <v>364</v>
      </c>
      <c r="F32" t="s">
        <v>369</v>
      </c>
      <c r="G32" t="s">
        <v>399</v>
      </c>
      <c r="H32" t="s">
        <v>485</v>
      </c>
      <c r="I32">
        <v>2930</v>
      </c>
      <c r="J32">
        <v>0.95</v>
      </c>
      <c r="K32">
        <v>2783.5</v>
      </c>
      <c r="L32">
        <v>0.57999999999999996</v>
      </c>
      <c r="M32">
        <v>1699.4</v>
      </c>
      <c r="N32">
        <v>1084.0999999999999</v>
      </c>
    </row>
    <row r="33" spans="1:14" x14ac:dyDescent="0.25">
      <c r="A33">
        <v>32</v>
      </c>
      <c r="B33" t="s">
        <v>41</v>
      </c>
      <c r="C33" t="str">
        <f t="shared" si="0"/>
        <v>Oct</v>
      </c>
      <c r="D33">
        <f>YEAR(SalesData[[#This Row],[Date]])</f>
        <v>2024</v>
      </c>
      <c r="E33" t="s">
        <v>365</v>
      </c>
      <c r="F33" t="s">
        <v>367</v>
      </c>
      <c r="G33" t="s">
        <v>400</v>
      </c>
      <c r="H33" t="s">
        <v>478</v>
      </c>
      <c r="I33">
        <v>4405</v>
      </c>
      <c r="J33">
        <v>1.1499999999999999</v>
      </c>
      <c r="K33">
        <v>5065.75</v>
      </c>
      <c r="L33">
        <v>0.94</v>
      </c>
      <c r="M33">
        <v>4140.7</v>
      </c>
      <c r="N33">
        <v>925.05</v>
      </c>
    </row>
    <row r="34" spans="1:14" x14ac:dyDescent="0.25">
      <c r="A34">
        <v>33</v>
      </c>
      <c r="B34" t="s">
        <v>42</v>
      </c>
      <c r="C34" t="str">
        <f t="shared" si="0"/>
        <v>Mar</v>
      </c>
      <c r="D34">
        <f>YEAR(SalesData[[#This Row],[Date]])</f>
        <v>2024</v>
      </c>
      <c r="E34" t="s">
        <v>363</v>
      </c>
      <c r="F34" t="s">
        <v>367</v>
      </c>
      <c r="G34" t="s">
        <v>401</v>
      </c>
      <c r="H34" t="s">
        <v>486</v>
      </c>
      <c r="I34">
        <v>1056</v>
      </c>
      <c r="J34">
        <v>1.27</v>
      </c>
      <c r="K34">
        <v>1341.12</v>
      </c>
      <c r="L34">
        <v>0.84</v>
      </c>
      <c r="M34">
        <v>887.04</v>
      </c>
      <c r="N34">
        <v>454.08</v>
      </c>
    </row>
    <row r="35" spans="1:14" x14ac:dyDescent="0.25">
      <c r="A35">
        <v>34</v>
      </c>
      <c r="B35" t="s">
        <v>43</v>
      </c>
      <c r="C35" t="str">
        <f t="shared" si="0"/>
        <v>Mar</v>
      </c>
      <c r="D35">
        <f>YEAR(SalesData[[#This Row],[Date]])</f>
        <v>2024</v>
      </c>
      <c r="E35" t="s">
        <v>363</v>
      </c>
      <c r="F35" t="s">
        <v>368</v>
      </c>
      <c r="G35" t="s">
        <v>402</v>
      </c>
      <c r="H35" t="s">
        <v>486</v>
      </c>
      <c r="I35">
        <v>3934</v>
      </c>
      <c r="J35">
        <v>1.26</v>
      </c>
      <c r="K35">
        <v>4956.84</v>
      </c>
      <c r="L35">
        <v>0.93</v>
      </c>
      <c r="M35">
        <v>3658.62</v>
      </c>
      <c r="N35">
        <v>1298.22</v>
      </c>
    </row>
    <row r="36" spans="1:14" x14ac:dyDescent="0.25">
      <c r="A36">
        <v>35</v>
      </c>
      <c r="B36" t="s">
        <v>44</v>
      </c>
      <c r="C36" t="str">
        <f t="shared" si="0"/>
        <v>Jun</v>
      </c>
      <c r="D36">
        <f>YEAR(SalesData[[#This Row],[Date]])</f>
        <v>2024</v>
      </c>
      <c r="E36" t="s">
        <v>366</v>
      </c>
      <c r="F36" t="s">
        <v>370</v>
      </c>
      <c r="G36" t="s">
        <v>403</v>
      </c>
      <c r="H36" t="s">
        <v>487</v>
      </c>
      <c r="I36">
        <v>2455</v>
      </c>
      <c r="J36">
        <v>0.99</v>
      </c>
      <c r="K36">
        <v>2430.4499999999998</v>
      </c>
      <c r="L36">
        <v>0.63</v>
      </c>
      <c r="M36">
        <v>1546.65</v>
      </c>
      <c r="N36">
        <v>883.8</v>
      </c>
    </row>
    <row r="37" spans="1:14" x14ac:dyDescent="0.25">
      <c r="A37">
        <v>36</v>
      </c>
      <c r="B37" t="s">
        <v>45</v>
      </c>
      <c r="C37" t="str">
        <f t="shared" si="0"/>
        <v>Nov</v>
      </c>
      <c r="D37">
        <f>YEAR(SalesData[[#This Row],[Date]])</f>
        <v>2024</v>
      </c>
      <c r="E37" t="s">
        <v>364</v>
      </c>
      <c r="F37" t="s">
        <v>370</v>
      </c>
      <c r="G37" t="s">
        <v>404</v>
      </c>
      <c r="H37" t="s">
        <v>486</v>
      </c>
      <c r="I37">
        <v>576</v>
      </c>
      <c r="J37">
        <v>1.1200000000000001</v>
      </c>
      <c r="K37">
        <v>645.12</v>
      </c>
      <c r="L37">
        <v>0.95</v>
      </c>
      <c r="M37">
        <v>547.20000000000005</v>
      </c>
      <c r="N37">
        <v>97.92</v>
      </c>
    </row>
    <row r="38" spans="1:14" x14ac:dyDescent="0.25">
      <c r="A38">
        <v>37</v>
      </c>
      <c r="B38" t="s">
        <v>19</v>
      </c>
      <c r="C38" t="str">
        <f t="shared" si="0"/>
        <v>Feb</v>
      </c>
      <c r="D38">
        <f>YEAR(SalesData[[#This Row],[Date]])</f>
        <v>2024</v>
      </c>
      <c r="E38" t="s">
        <v>366</v>
      </c>
      <c r="F38" t="s">
        <v>367</v>
      </c>
      <c r="G38" t="s">
        <v>405</v>
      </c>
      <c r="H38" t="s">
        <v>471</v>
      </c>
      <c r="I38">
        <v>1585</v>
      </c>
      <c r="J38">
        <v>1.45</v>
      </c>
      <c r="K38">
        <v>2298.25</v>
      </c>
      <c r="L38">
        <v>1.19</v>
      </c>
      <c r="M38">
        <v>1886.15</v>
      </c>
      <c r="N38">
        <v>412.1</v>
      </c>
    </row>
    <row r="39" spans="1:14" x14ac:dyDescent="0.25">
      <c r="A39">
        <v>38</v>
      </c>
      <c r="B39" t="s">
        <v>46</v>
      </c>
      <c r="C39" t="str">
        <f t="shared" si="0"/>
        <v>May</v>
      </c>
      <c r="D39">
        <f>YEAR(SalesData[[#This Row],[Date]])</f>
        <v>2024</v>
      </c>
      <c r="E39" t="s">
        <v>365</v>
      </c>
      <c r="F39" t="s">
        <v>370</v>
      </c>
      <c r="G39" t="s">
        <v>406</v>
      </c>
      <c r="H39" t="s">
        <v>473</v>
      </c>
      <c r="I39">
        <v>4950</v>
      </c>
      <c r="J39">
        <v>1.29</v>
      </c>
      <c r="K39">
        <v>6385.5</v>
      </c>
      <c r="L39">
        <v>0.97</v>
      </c>
      <c r="M39">
        <v>4801.5</v>
      </c>
      <c r="N39">
        <v>1584</v>
      </c>
    </row>
    <row r="40" spans="1:14" x14ac:dyDescent="0.25">
      <c r="A40">
        <v>39</v>
      </c>
      <c r="B40" t="s">
        <v>47</v>
      </c>
      <c r="C40" t="str">
        <f t="shared" si="0"/>
        <v>Nov</v>
      </c>
      <c r="D40">
        <f>YEAR(SalesData[[#This Row],[Date]])</f>
        <v>2024</v>
      </c>
      <c r="E40" t="s">
        <v>365</v>
      </c>
      <c r="F40" t="s">
        <v>367</v>
      </c>
      <c r="G40" t="s">
        <v>389</v>
      </c>
      <c r="H40" t="s">
        <v>488</v>
      </c>
      <c r="I40">
        <v>1600</v>
      </c>
      <c r="J40">
        <v>0.99</v>
      </c>
      <c r="K40">
        <v>1584</v>
      </c>
      <c r="L40">
        <v>0.81</v>
      </c>
      <c r="M40">
        <v>1296</v>
      </c>
      <c r="N40">
        <v>288</v>
      </c>
    </row>
    <row r="41" spans="1:14" x14ac:dyDescent="0.25">
      <c r="A41">
        <v>40</v>
      </c>
      <c r="B41" t="s">
        <v>48</v>
      </c>
      <c r="C41" t="str">
        <f t="shared" si="0"/>
        <v>Oct</v>
      </c>
      <c r="D41">
        <f>YEAR(SalesData[[#This Row],[Date]])</f>
        <v>2024</v>
      </c>
      <c r="E41" t="s">
        <v>365</v>
      </c>
      <c r="F41" t="s">
        <v>368</v>
      </c>
      <c r="G41" t="s">
        <v>407</v>
      </c>
      <c r="H41" t="s">
        <v>489</v>
      </c>
      <c r="I41">
        <v>2225</v>
      </c>
      <c r="J41">
        <v>1.3</v>
      </c>
      <c r="K41">
        <v>2892.5</v>
      </c>
      <c r="L41">
        <v>0.85</v>
      </c>
      <c r="M41">
        <v>1891.25</v>
      </c>
      <c r="N41">
        <v>1001.25</v>
      </c>
    </row>
    <row r="42" spans="1:14" x14ac:dyDescent="0.25">
      <c r="A42">
        <v>41</v>
      </c>
      <c r="B42" t="s">
        <v>49</v>
      </c>
      <c r="C42" t="str">
        <f t="shared" si="0"/>
        <v>Nov</v>
      </c>
      <c r="D42">
        <f>YEAR(SalesData[[#This Row],[Date]])</f>
        <v>2024</v>
      </c>
      <c r="E42" t="s">
        <v>364</v>
      </c>
      <c r="F42" t="s">
        <v>370</v>
      </c>
      <c r="G42" t="s">
        <v>408</v>
      </c>
      <c r="H42" t="s">
        <v>478</v>
      </c>
      <c r="I42">
        <v>1256</v>
      </c>
      <c r="J42">
        <v>1.24</v>
      </c>
      <c r="K42">
        <v>1557.44</v>
      </c>
      <c r="L42">
        <v>1</v>
      </c>
      <c r="M42">
        <v>1256</v>
      </c>
      <c r="N42">
        <v>301.44</v>
      </c>
    </row>
    <row r="43" spans="1:14" x14ac:dyDescent="0.25">
      <c r="A43">
        <v>42</v>
      </c>
      <c r="B43" t="s">
        <v>50</v>
      </c>
      <c r="C43" t="str">
        <f t="shared" si="0"/>
        <v>Jan</v>
      </c>
      <c r="D43">
        <f>YEAR(SalesData[[#This Row],[Date]])</f>
        <v>2024</v>
      </c>
      <c r="E43" t="s">
        <v>365</v>
      </c>
      <c r="F43" t="s">
        <v>367</v>
      </c>
      <c r="G43" t="s">
        <v>380</v>
      </c>
      <c r="H43" t="s">
        <v>474</v>
      </c>
      <c r="I43">
        <v>2645</v>
      </c>
      <c r="J43">
        <v>0.91</v>
      </c>
      <c r="K43">
        <v>2406.9499999999998</v>
      </c>
      <c r="L43">
        <v>0.65</v>
      </c>
      <c r="M43">
        <v>1719.25</v>
      </c>
      <c r="N43">
        <v>687.7</v>
      </c>
    </row>
    <row r="44" spans="1:14" x14ac:dyDescent="0.25">
      <c r="A44">
        <v>43</v>
      </c>
      <c r="B44" t="s">
        <v>51</v>
      </c>
      <c r="C44" t="str">
        <f t="shared" si="0"/>
        <v>Dec</v>
      </c>
      <c r="D44">
        <f>YEAR(SalesData[[#This Row],[Date]])</f>
        <v>2024</v>
      </c>
      <c r="E44" t="s">
        <v>363</v>
      </c>
      <c r="F44" t="s">
        <v>369</v>
      </c>
      <c r="G44" t="s">
        <v>409</v>
      </c>
      <c r="H44" t="s">
        <v>486</v>
      </c>
      <c r="I44">
        <v>1721</v>
      </c>
      <c r="J44">
        <v>1.18</v>
      </c>
      <c r="K44">
        <v>2030.78</v>
      </c>
      <c r="L44">
        <v>0.95</v>
      </c>
      <c r="M44">
        <v>1634.95</v>
      </c>
      <c r="N44">
        <v>395.83</v>
      </c>
    </row>
    <row r="45" spans="1:14" x14ac:dyDescent="0.25">
      <c r="A45">
        <v>44</v>
      </c>
      <c r="B45" t="s">
        <v>52</v>
      </c>
      <c r="C45" t="str">
        <f t="shared" si="0"/>
        <v>Oct</v>
      </c>
      <c r="D45">
        <f>YEAR(SalesData[[#This Row],[Date]])</f>
        <v>2024</v>
      </c>
      <c r="E45" t="s">
        <v>364</v>
      </c>
      <c r="F45" t="s">
        <v>368</v>
      </c>
      <c r="G45" t="s">
        <v>410</v>
      </c>
      <c r="H45" t="s">
        <v>478</v>
      </c>
      <c r="I45">
        <v>3025</v>
      </c>
      <c r="J45">
        <v>1.06</v>
      </c>
      <c r="K45">
        <v>3206.5</v>
      </c>
      <c r="L45">
        <v>0.88</v>
      </c>
      <c r="M45">
        <v>2662</v>
      </c>
      <c r="N45">
        <v>544.5</v>
      </c>
    </row>
    <row r="46" spans="1:14" x14ac:dyDescent="0.25">
      <c r="A46">
        <v>45</v>
      </c>
      <c r="B46" t="s">
        <v>53</v>
      </c>
      <c r="C46" t="str">
        <f t="shared" si="0"/>
        <v>Jan</v>
      </c>
      <c r="D46">
        <f>YEAR(SalesData[[#This Row],[Date]])</f>
        <v>2024</v>
      </c>
      <c r="E46" t="s">
        <v>366</v>
      </c>
      <c r="F46" t="s">
        <v>370</v>
      </c>
      <c r="G46" t="s">
        <v>411</v>
      </c>
      <c r="H46" t="s">
        <v>477</v>
      </c>
      <c r="I46">
        <v>1342</v>
      </c>
      <c r="J46">
        <v>1.05</v>
      </c>
      <c r="K46">
        <v>1409.1</v>
      </c>
      <c r="L46">
        <v>0.78</v>
      </c>
      <c r="M46">
        <v>1046.76</v>
      </c>
      <c r="N46">
        <v>362.34</v>
      </c>
    </row>
    <row r="47" spans="1:14" x14ac:dyDescent="0.25">
      <c r="A47">
        <v>46</v>
      </c>
      <c r="B47" t="s">
        <v>54</v>
      </c>
      <c r="C47" t="str">
        <f t="shared" si="0"/>
        <v>Jul</v>
      </c>
      <c r="D47">
        <f>YEAR(SalesData[[#This Row],[Date]])</f>
        <v>2024</v>
      </c>
      <c r="E47" t="s">
        <v>366</v>
      </c>
      <c r="F47" t="s">
        <v>368</v>
      </c>
      <c r="G47" t="s">
        <v>406</v>
      </c>
      <c r="H47" t="s">
        <v>480</v>
      </c>
      <c r="I47">
        <v>3877</v>
      </c>
      <c r="J47">
        <v>0.82</v>
      </c>
      <c r="K47">
        <v>3179.14</v>
      </c>
      <c r="L47">
        <v>0.64</v>
      </c>
      <c r="M47">
        <v>2481.2800000000002</v>
      </c>
      <c r="N47">
        <v>697.86</v>
      </c>
    </row>
    <row r="48" spans="1:14" x14ac:dyDescent="0.25">
      <c r="A48">
        <v>47</v>
      </c>
      <c r="B48" t="s">
        <v>55</v>
      </c>
      <c r="C48" t="str">
        <f t="shared" si="0"/>
        <v>Jun</v>
      </c>
      <c r="D48">
        <f>YEAR(SalesData[[#This Row],[Date]])</f>
        <v>2024</v>
      </c>
      <c r="E48" t="s">
        <v>366</v>
      </c>
      <c r="F48" t="s">
        <v>369</v>
      </c>
      <c r="G48" t="s">
        <v>412</v>
      </c>
      <c r="H48" t="s">
        <v>480</v>
      </c>
      <c r="I48">
        <v>1385</v>
      </c>
      <c r="J48">
        <v>1.07</v>
      </c>
      <c r="K48">
        <v>1481.95</v>
      </c>
      <c r="L48">
        <v>0.65</v>
      </c>
      <c r="M48">
        <v>900.25</v>
      </c>
      <c r="N48">
        <v>581.70000000000005</v>
      </c>
    </row>
    <row r="49" spans="1:14" x14ac:dyDescent="0.25">
      <c r="A49">
        <v>48</v>
      </c>
      <c r="B49" t="s">
        <v>56</v>
      </c>
      <c r="C49" t="str">
        <f t="shared" si="0"/>
        <v>Aug</v>
      </c>
      <c r="D49">
        <f>YEAR(SalesData[[#This Row],[Date]])</f>
        <v>2024</v>
      </c>
      <c r="E49" t="s">
        <v>366</v>
      </c>
      <c r="F49" t="s">
        <v>368</v>
      </c>
      <c r="G49" t="s">
        <v>378</v>
      </c>
      <c r="H49" t="s">
        <v>475</v>
      </c>
      <c r="I49">
        <v>3000</v>
      </c>
      <c r="J49">
        <v>1.37</v>
      </c>
      <c r="K49">
        <v>4110</v>
      </c>
      <c r="L49">
        <v>1.1200000000000001</v>
      </c>
      <c r="M49">
        <v>3360</v>
      </c>
      <c r="N49">
        <v>750</v>
      </c>
    </row>
    <row r="50" spans="1:14" x14ac:dyDescent="0.25">
      <c r="A50">
        <v>49</v>
      </c>
      <c r="B50" t="s">
        <v>57</v>
      </c>
      <c r="C50" t="str">
        <f t="shared" si="0"/>
        <v>Apr</v>
      </c>
      <c r="D50">
        <f>YEAR(SalesData[[#This Row],[Date]])</f>
        <v>2024</v>
      </c>
      <c r="E50" t="s">
        <v>366</v>
      </c>
      <c r="F50" t="s">
        <v>367</v>
      </c>
      <c r="G50" t="s">
        <v>413</v>
      </c>
      <c r="H50" t="s">
        <v>487</v>
      </c>
      <c r="I50">
        <v>2782</v>
      </c>
      <c r="J50">
        <v>1.41</v>
      </c>
      <c r="K50">
        <v>3922.62</v>
      </c>
      <c r="L50">
        <v>1.19</v>
      </c>
      <c r="M50">
        <v>3310.58</v>
      </c>
      <c r="N50">
        <v>612.04</v>
      </c>
    </row>
    <row r="51" spans="1:14" x14ac:dyDescent="0.25">
      <c r="A51">
        <v>50</v>
      </c>
      <c r="B51" t="s">
        <v>58</v>
      </c>
      <c r="C51" t="str">
        <f t="shared" si="0"/>
        <v>May</v>
      </c>
      <c r="D51">
        <f>YEAR(SalesData[[#This Row],[Date]])</f>
        <v>2024</v>
      </c>
      <c r="E51" t="s">
        <v>364</v>
      </c>
      <c r="F51" t="s">
        <v>370</v>
      </c>
      <c r="G51" t="s">
        <v>414</v>
      </c>
      <c r="H51" t="s">
        <v>476</v>
      </c>
      <c r="I51">
        <v>3212</v>
      </c>
      <c r="J51">
        <v>1.46</v>
      </c>
      <c r="K51">
        <v>4689.5200000000004</v>
      </c>
      <c r="L51">
        <v>0.92</v>
      </c>
      <c r="M51">
        <v>2955.04</v>
      </c>
      <c r="N51">
        <v>1734.48</v>
      </c>
    </row>
    <row r="52" spans="1:14" x14ac:dyDescent="0.25">
      <c r="A52">
        <v>51</v>
      </c>
      <c r="B52" t="s">
        <v>59</v>
      </c>
      <c r="C52" t="str">
        <f t="shared" si="0"/>
        <v>May</v>
      </c>
      <c r="D52">
        <f>YEAR(SalesData[[#This Row],[Date]])</f>
        <v>2024</v>
      </c>
      <c r="E52" t="s">
        <v>365</v>
      </c>
      <c r="F52" t="s">
        <v>368</v>
      </c>
      <c r="G52" t="s">
        <v>372</v>
      </c>
      <c r="H52" t="s">
        <v>488</v>
      </c>
      <c r="I52">
        <v>4059</v>
      </c>
      <c r="J52">
        <v>1.04</v>
      </c>
      <c r="K52">
        <v>4221.3599999999997</v>
      </c>
      <c r="L52">
        <v>0.83</v>
      </c>
      <c r="M52">
        <v>3368.97</v>
      </c>
      <c r="N52">
        <v>852.39</v>
      </c>
    </row>
    <row r="53" spans="1:14" x14ac:dyDescent="0.25">
      <c r="A53">
        <v>52</v>
      </c>
      <c r="B53" t="s">
        <v>60</v>
      </c>
      <c r="C53" t="str">
        <f t="shared" si="0"/>
        <v>Aug</v>
      </c>
      <c r="D53">
        <f>YEAR(SalesData[[#This Row],[Date]])</f>
        <v>2024</v>
      </c>
      <c r="E53" t="s">
        <v>364</v>
      </c>
      <c r="F53" t="s">
        <v>367</v>
      </c>
      <c r="G53" t="s">
        <v>415</v>
      </c>
      <c r="H53" t="s">
        <v>485</v>
      </c>
      <c r="I53">
        <v>2586</v>
      </c>
      <c r="J53">
        <v>0.83</v>
      </c>
      <c r="K53">
        <v>2146.38</v>
      </c>
      <c r="L53">
        <v>0.59</v>
      </c>
      <c r="M53">
        <v>1525.74</v>
      </c>
      <c r="N53">
        <v>620.64</v>
      </c>
    </row>
    <row r="54" spans="1:14" x14ac:dyDescent="0.25">
      <c r="A54">
        <v>53</v>
      </c>
      <c r="B54" t="s">
        <v>61</v>
      </c>
      <c r="C54" t="str">
        <f t="shared" si="0"/>
        <v>Sep</v>
      </c>
      <c r="D54">
        <f>YEAR(SalesData[[#This Row],[Date]])</f>
        <v>2024</v>
      </c>
      <c r="E54" t="s">
        <v>365</v>
      </c>
      <c r="F54" t="s">
        <v>368</v>
      </c>
      <c r="G54" t="s">
        <v>416</v>
      </c>
      <c r="H54" t="s">
        <v>486</v>
      </c>
      <c r="I54">
        <v>3204</v>
      </c>
      <c r="J54">
        <v>1.24</v>
      </c>
      <c r="K54">
        <v>3972.96</v>
      </c>
      <c r="L54">
        <v>0.95</v>
      </c>
      <c r="M54">
        <v>3043.8</v>
      </c>
      <c r="N54">
        <v>929.16</v>
      </c>
    </row>
    <row r="55" spans="1:14" x14ac:dyDescent="0.25">
      <c r="A55">
        <v>54</v>
      </c>
      <c r="B55" t="s">
        <v>62</v>
      </c>
      <c r="C55" t="str">
        <f t="shared" si="0"/>
        <v>Mar</v>
      </c>
      <c r="D55">
        <f>YEAR(SalesData[[#This Row],[Date]])</f>
        <v>2024</v>
      </c>
      <c r="E55" t="s">
        <v>365</v>
      </c>
      <c r="F55" t="s">
        <v>370</v>
      </c>
      <c r="G55" t="s">
        <v>403</v>
      </c>
      <c r="H55" t="s">
        <v>481</v>
      </c>
      <c r="I55">
        <v>3172</v>
      </c>
      <c r="J55">
        <v>1.08</v>
      </c>
      <c r="K55">
        <v>3425.76</v>
      </c>
      <c r="L55">
        <v>0.73</v>
      </c>
      <c r="M55">
        <v>2315.56</v>
      </c>
      <c r="N55">
        <v>1110.2</v>
      </c>
    </row>
    <row r="56" spans="1:14" x14ac:dyDescent="0.25">
      <c r="A56">
        <v>55</v>
      </c>
      <c r="B56" t="s">
        <v>63</v>
      </c>
      <c r="C56" t="str">
        <f t="shared" si="0"/>
        <v>Mar</v>
      </c>
      <c r="D56">
        <f>YEAR(SalesData[[#This Row],[Date]])</f>
        <v>2024</v>
      </c>
      <c r="E56" t="s">
        <v>364</v>
      </c>
      <c r="F56" t="s">
        <v>368</v>
      </c>
      <c r="G56" t="s">
        <v>403</v>
      </c>
      <c r="H56" t="s">
        <v>484</v>
      </c>
      <c r="I56">
        <v>1925</v>
      </c>
      <c r="J56">
        <v>1.23</v>
      </c>
      <c r="K56">
        <v>2367.75</v>
      </c>
      <c r="L56">
        <v>0.83</v>
      </c>
      <c r="M56">
        <v>1597.75</v>
      </c>
      <c r="N56">
        <v>770</v>
      </c>
    </row>
    <row r="57" spans="1:14" x14ac:dyDescent="0.25">
      <c r="A57">
        <v>56</v>
      </c>
      <c r="B57" t="s">
        <v>64</v>
      </c>
      <c r="C57" t="str">
        <f t="shared" si="0"/>
        <v>Oct</v>
      </c>
      <c r="D57">
        <f>YEAR(SalesData[[#This Row],[Date]])</f>
        <v>2024</v>
      </c>
      <c r="E57" t="s">
        <v>365</v>
      </c>
      <c r="F57" t="s">
        <v>367</v>
      </c>
      <c r="G57" t="s">
        <v>407</v>
      </c>
      <c r="H57" t="s">
        <v>485</v>
      </c>
      <c r="I57">
        <v>4021</v>
      </c>
      <c r="J57">
        <v>1.35</v>
      </c>
      <c r="K57">
        <v>5428.35</v>
      </c>
      <c r="L57">
        <v>1.01</v>
      </c>
      <c r="M57">
        <v>4061.21</v>
      </c>
      <c r="N57">
        <v>1367.14</v>
      </c>
    </row>
    <row r="58" spans="1:14" x14ac:dyDescent="0.25">
      <c r="A58">
        <v>57</v>
      </c>
      <c r="B58" t="s">
        <v>65</v>
      </c>
      <c r="C58" t="str">
        <f t="shared" si="0"/>
        <v>Jun</v>
      </c>
      <c r="D58">
        <f>YEAR(SalesData[[#This Row],[Date]])</f>
        <v>2024</v>
      </c>
      <c r="E58" t="s">
        <v>364</v>
      </c>
      <c r="F58" t="s">
        <v>369</v>
      </c>
      <c r="G58" t="s">
        <v>396</v>
      </c>
      <c r="H58" t="s">
        <v>485</v>
      </c>
      <c r="I58">
        <v>4687</v>
      </c>
      <c r="J58">
        <v>1.1299999999999999</v>
      </c>
      <c r="K58">
        <v>5296.31</v>
      </c>
      <c r="L58">
        <v>0.93</v>
      </c>
      <c r="M58">
        <v>4358.91</v>
      </c>
      <c r="N58">
        <v>937.4</v>
      </c>
    </row>
    <row r="59" spans="1:14" x14ac:dyDescent="0.25">
      <c r="A59">
        <v>58</v>
      </c>
      <c r="B59" t="s">
        <v>66</v>
      </c>
      <c r="C59" t="str">
        <f t="shared" si="0"/>
        <v>Mar</v>
      </c>
      <c r="D59">
        <f>YEAR(SalesData[[#This Row],[Date]])</f>
        <v>2024</v>
      </c>
      <c r="E59" t="s">
        <v>365</v>
      </c>
      <c r="F59" t="s">
        <v>367</v>
      </c>
      <c r="G59" t="s">
        <v>417</v>
      </c>
      <c r="H59" t="s">
        <v>489</v>
      </c>
      <c r="I59">
        <v>3245</v>
      </c>
      <c r="J59">
        <v>0.87</v>
      </c>
      <c r="K59">
        <v>2823.15</v>
      </c>
      <c r="L59">
        <v>0.73</v>
      </c>
      <c r="M59">
        <v>2368.85</v>
      </c>
      <c r="N59">
        <v>454.3</v>
      </c>
    </row>
    <row r="60" spans="1:14" x14ac:dyDescent="0.25">
      <c r="A60">
        <v>59</v>
      </c>
      <c r="B60" t="s">
        <v>67</v>
      </c>
      <c r="C60" t="str">
        <f t="shared" si="0"/>
        <v>Apr</v>
      </c>
      <c r="D60">
        <f>YEAR(SalesData[[#This Row],[Date]])</f>
        <v>2024</v>
      </c>
      <c r="E60" t="s">
        <v>366</v>
      </c>
      <c r="F60" t="s">
        <v>370</v>
      </c>
      <c r="G60" t="s">
        <v>418</v>
      </c>
      <c r="H60" t="s">
        <v>474</v>
      </c>
      <c r="I60">
        <v>700</v>
      </c>
      <c r="J60">
        <v>0.83</v>
      </c>
      <c r="K60">
        <v>581</v>
      </c>
      <c r="L60">
        <v>0.7</v>
      </c>
      <c r="M60">
        <v>490</v>
      </c>
      <c r="N60">
        <v>91</v>
      </c>
    </row>
    <row r="61" spans="1:14" x14ac:dyDescent="0.25">
      <c r="A61">
        <v>60</v>
      </c>
      <c r="B61" t="s">
        <v>68</v>
      </c>
      <c r="C61" t="str">
        <f t="shared" si="0"/>
        <v>Nov</v>
      </c>
      <c r="D61">
        <f>YEAR(SalesData[[#This Row],[Date]])</f>
        <v>2024</v>
      </c>
      <c r="E61" t="s">
        <v>364</v>
      </c>
      <c r="F61" t="s">
        <v>367</v>
      </c>
      <c r="G61" t="s">
        <v>419</v>
      </c>
      <c r="H61" t="s">
        <v>479</v>
      </c>
      <c r="I61">
        <v>2092</v>
      </c>
      <c r="J61">
        <v>1.3</v>
      </c>
      <c r="K61">
        <v>2719.6</v>
      </c>
      <c r="L61">
        <v>0.9</v>
      </c>
      <c r="M61">
        <v>1882.8</v>
      </c>
      <c r="N61">
        <v>836.8</v>
      </c>
    </row>
    <row r="62" spans="1:14" x14ac:dyDescent="0.25">
      <c r="A62">
        <v>61</v>
      </c>
      <c r="B62" t="s">
        <v>69</v>
      </c>
      <c r="C62" t="str">
        <f t="shared" si="0"/>
        <v>Jul</v>
      </c>
      <c r="D62">
        <f>YEAR(SalesData[[#This Row],[Date]])</f>
        <v>2024</v>
      </c>
      <c r="E62" t="s">
        <v>366</v>
      </c>
      <c r="F62" t="s">
        <v>368</v>
      </c>
      <c r="G62" t="s">
        <v>420</v>
      </c>
      <c r="H62" t="s">
        <v>472</v>
      </c>
      <c r="I62">
        <v>1373</v>
      </c>
      <c r="J62">
        <v>1.34</v>
      </c>
      <c r="K62">
        <v>1839.82</v>
      </c>
      <c r="L62">
        <v>0.88</v>
      </c>
      <c r="M62">
        <v>1208.24</v>
      </c>
      <c r="N62">
        <v>631.58000000000004</v>
      </c>
    </row>
    <row r="63" spans="1:14" x14ac:dyDescent="0.25">
      <c r="A63">
        <v>62</v>
      </c>
      <c r="B63" t="s">
        <v>70</v>
      </c>
      <c r="C63" t="str">
        <f t="shared" si="0"/>
        <v>Dec</v>
      </c>
      <c r="D63">
        <f>YEAR(SalesData[[#This Row],[Date]])</f>
        <v>2024</v>
      </c>
      <c r="E63" t="s">
        <v>363</v>
      </c>
      <c r="F63" t="s">
        <v>369</v>
      </c>
      <c r="G63" t="s">
        <v>421</v>
      </c>
      <c r="H63" t="s">
        <v>477</v>
      </c>
      <c r="I63">
        <v>1494</v>
      </c>
      <c r="J63">
        <v>1.1200000000000001</v>
      </c>
      <c r="K63">
        <v>1673.28</v>
      </c>
      <c r="L63">
        <v>0.9</v>
      </c>
      <c r="M63">
        <v>1344.6</v>
      </c>
      <c r="N63">
        <v>328.68</v>
      </c>
    </row>
    <row r="64" spans="1:14" x14ac:dyDescent="0.25">
      <c r="A64">
        <v>63</v>
      </c>
      <c r="B64" t="s">
        <v>71</v>
      </c>
      <c r="C64" t="str">
        <f t="shared" si="0"/>
        <v>Dec</v>
      </c>
      <c r="D64">
        <f>YEAR(SalesData[[#This Row],[Date]])</f>
        <v>2024</v>
      </c>
      <c r="E64" t="s">
        <v>364</v>
      </c>
      <c r="F64" t="s">
        <v>370</v>
      </c>
      <c r="G64" t="s">
        <v>422</v>
      </c>
      <c r="H64" t="s">
        <v>490</v>
      </c>
      <c r="I64">
        <v>3995</v>
      </c>
      <c r="J64">
        <v>1.38</v>
      </c>
      <c r="K64">
        <v>5513.1</v>
      </c>
      <c r="L64">
        <v>1.02</v>
      </c>
      <c r="M64">
        <v>4074.9</v>
      </c>
      <c r="N64">
        <v>1438.2</v>
      </c>
    </row>
    <row r="65" spans="1:14" x14ac:dyDescent="0.25">
      <c r="A65">
        <v>64</v>
      </c>
      <c r="B65" t="s">
        <v>15</v>
      </c>
      <c r="C65" t="str">
        <f t="shared" si="0"/>
        <v>Mar</v>
      </c>
      <c r="D65">
        <f>YEAR(SalesData[[#This Row],[Date]])</f>
        <v>2024</v>
      </c>
      <c r="E65" t="s">
        <v>364</v>
      </c>
      <c r="F65" t="s">
        <v>369</v>
      </c>
      <c r="G65" t="s">
        <v>382</v>
      </c>
      <c r="H65" t="s">
        <v>477</v>
      </c>
      <c r="I65">
        <v>2771</v>
      </c>
      <c r="J65">
        <v>1.34</v>
      </c>
      <c r="K65">
        <v>3713.14</v>
      </c>
      <c r="L65">
        <v>0.98</v>
      </c>
      <c r="M65">
        <v>2715.58</v>
      </c>
      <c r="N65">
        <v>997.56</v>
      </c>
    </row>
    <row r="66" spans="1:14" x14ac:dyDescent="0.25">
      <c r="A66">
        <v>65</v>
      </c>
      <c r="B66" t="s">
        <v>72</v>
      </c>
      <c r="C66" t="str">
        <f t="shared" ref="C66:C129" si="1">TEXT(B66,"mmm")</f>
        <v>Nov</v>
      </c>
      <c r="D66">
        <f>YEAR(SalesData[[#This Row],[Date]])</f>
        <v>2024</v>
      </c>
      <c r="E66" t="s">
        <v>365</v>
      </c>
      <c r="F66" t="s">
        <v>368</v>
      </c>
      <c r="G66" t="s">
        <v>396</v>
      </c>
      <c r="H66" t="s">
        <v>486</v>
      </c>
      <c r="I66">
        <v>2840</v>
      </c>
      <c r="J66">
        <v>0.96</v>
      </c>
      <c r="K66">
        <v>2726.4</v>
      </c>
      <c r="L66">
        <v>0.66</v>
      </c>
      <c r="M66">
        <v>1874.4</v>
      </c>
      <c r="N66">
        <v>852</v>
      </c>
    </row>
    <row r="67" spans="1:14" x14ac:dyDescent="0.25">
      <c r="A67">
        <v>66</v>
      </c>
      <c r="B67" t="s">
        <v>73</v>
      </c>
      <c r="C67" t="str">
        <f t="shared" si="1"/>
        <v>Oct</v>
      </c>
      <c r="D67">
        <f>YEAR(SalesData[[#This Row],[Date]])</f>
        <v>2024</v>
      </c>
      <c r="E67" t="s">
        <v>366</v>
      </c>
      <c r="F67" t="s">
        <v>367</v>
      </c>
      <c r="G67" t="s">
        <v>399</v>
      </c>
      <c r="H67" t="s">
        <v>477</v>
      </c>
      <c r="I67">
        <v>3637</v>
      </c>
      <c r="J67">
        <v>1.29</v>
      </c>
      <c r="K67">
        <v>4691.7299999999996</v>
      </c>
      <c r="L67">
        <v>1</v>
      </c>
      <c r="M67">
        <v>3637</v>
      </c>
      <c r="N67">
        <v>1054.73</v>
      </c>
    </row>
    <row r="68" spans="1:14" x14ac:dyDescent="0.25">
      <c r="A68">
        <v>67</v>
      </c>
      <c r="B68" t="s">
        <v>74</v>
      </c>
      <c r="C68" t="str">
        <f t="shared" si="1"/>
        <v>Feb</v>
      </c>
      <c r="D68">
        <f>YEAR(SalesData[[#This Row],[Date]])</f>
        <v>2024</v>
      </c>
      <c r="E68" t="s">
        <v>364</v>
      </c>
      <c r="F68" t="s">
        <v>369</v>
      </c>
      <c r="G68" t="s">
        <v>423</v>
      </c>
      <c r="H68" t="s">
        <v>476</v>
      </c>
      <c r="I68">
        <v>4316</v>
      </c>
      <c r="J68">
        <v>1.0900000000000001</v>
      </c>
      <c r="K68">
        <v>4704.4399999999996</v>
      </c>
      <c r="L68">
        <v>0.71</v>
      </c>
      <c r="M68">
        <v>3064.36</v>
      </c>
      <c r="N68">
        <v>1640.08</v>
      </c>
    </row>
    <row r="69" spans="1:14" x14ac:dyDescent="0.25">
      <c r="A69">
        <v>68</v>
      </c>
      <c r="B69" t="s">
        <v>75</v>
      </c>
      <c r="C69" t="str">
        <f t="shared" si="1"/>
        <v>Aug</v>
      </c>
      <c r="D69">
        <f>YEAR(SalesData[[#This Row],[Date]])</f>
        <v>2024</v>
      </c>
      <c r="E69" t="s">
        <v>363</v>
      </c>
      <c r="F69" t="s">
        <v>369</v>
      </c>
      <c r="G69" t="s">
        <v>424</v>
      </c>
      <c r="H69" t="s">
        <v>479</v>
      </c>
      <c r="I69">
        <v>3616</v>
      </c>
      <c r="J69">
        <v>1.1299999999999999</v>
      </c>
      <c r="K69">
        <v>4086.08</v>
      </c>
      <c r="L69">
        <v>0.94</v>
      </c>
      <c r="M69">
        <v>3399.04</v>
      </c>
      <c r="N69">
        <v>687.04</v>
      </c>
    </row>
    <row r="70" spans="1:14" x14ac:dyDescent="0.25">
      <c r="A70">
        <v>69</v>
      </c>
      <c r="B70" t="s">
        <v>76</v>
      </c>
      <c r="C70" t="str">
        <f t="shared" si="1"/>
        <v>Jun</v>
      </c>
      <c r="D70">
        <f>YEAR(SalesData[[#This Row],[Date]])</f>
        <v>2024</v>
      </c>
      <c r="E70" t="s">
        <v>364</v>
      </c>
      <c r="F70" t="s">
        <v>369</v>
      </c>
      <c r="G70" t="s">
        <v>379</v>
      </c>
      <c r="H70" t="s">
        <v>476</v>
      </c>
      <c r="I70">
        <v>2306</v>
      </c>
      <c r="J70">
        <v>1.1399999999999999</v>
      </c>
      <c r="K70">
        <v>2628.84</v>
      </c>
      <c r="L70">
        <v>0.76</v>
      </c>
      <c r="M70">
        <v>1752.56</v>
      </c>
      <c r="N70">
        <v>876.28</v>
      </c>
    </row>
    <row r="71" spans="1:14" x14ac:dyDescent="0.25">
      <c r="A71">
        <v>70</v>
      </c>
      <c r="B71" t="s">
        <v>77</v>
      </c>
      <c r="C71" t="str">
        <f t="shared" si="1"/>
        <v>Sep</v>
      </c>
      <c r="D71">
        <f>YEAR(SalesData[[#This Row],[Date]])</f>
        <v>2024</v>
      </c>
      <c r="E71" t="s">
        <v>364</v>
      </c>
      <c r="F71" t="s">
        <v>367</v>
      </c>
      <c r="G71" t="s">
        <v>425</v>
      </c>
      <c r="H71" t="s">
        <v>484</v>
      </c>
      <c r="I71">
        <v>1852</v>
      </c>
      <c r="J71">
        <v>1.39</v>
      </c>
      <c r="K71">
        <v>2574.2800000000002</v>
      </c>
      <c r="L71">
        <v>1.1499999999999999</v>
      </c>
      <c r="M71">
        <v>2129.8000000000002</v>
      </c>
      <c r="N71">
        <v>444.48</v>
      </c>
    </row>
    <row r="72" spans="1:14" x14ac:dyDescent="0.25">
      <c r="A72">
        <v>71</v>
      </c>
      <c r="B72" t="s">
        <v>78</v>
      </c>
      <c r="C72" t="str">
        <f t="shared" si="1"/>
        <v>Nov</v>
      </c>
      <c r="D72">
        <f>YEAR(SalesData[[#This Row],[Date]])</f>
        <v>2024</v>
      </c>
      <c r="E72" t="s">
        <v>364</v>
      </c>
      <c r="F72" t="s">
        <v>367</v>
      </c>
      <c r="G72" t="s">
        <v>426</v>
      </c>
      <c r="H72" t="s">
        <v>479</v>
      </c>
      <c r="I72">
        <v>722</v>
      </c>
      <c r="J72">
        <v>0.86</v>
      </c>
      <c r="K72">
        <v>620.91999999999996</v>
      </c>
      <c r="L72">
        <v>0.61</v>
      </c>
      <c r="M72">
        <v>440.42</v>
      </c>
      <c r="N72">
        <v>180.5</v>
      </c>
    </row>
    <row r="73" spans="1:14" x14ac:dyDescent="0.25">
      <c r="A73">
        <v>72</v>
      </c>
      <c r="B73" t="s">
        <v>37</v>
      </c>
      <c r="C73" t="str">
        <f t="shared" si="1"/>
        <v>Aug</v>
      </c>
      <c r="D73">
        <f>YEAR(SalesData[[#This Row],[Date]])</f>
        <v>2024</v>
      </c>
      <c r="E73" t="s">
        <v>363</v>
      </c>
      <c r="F73" t="s">
        <v>368</v>
      </c>
      <c r="G73" t="s">
        <v>382</v>
      </c>
      <c r="H73" t="s">
        <v>484</v>
      </c>
      <c r="I73">
        <v>3181</v>
      </c>
      <c r="J73">
        <v>0.95</v>
      </c>
      <c r="K73">
        <v>3021.95</v>
      </c>
      <c r="L73">
        <v>0.65</v>
      </c>
      <c r="M73">
        <v>2067.65</v>
      </c>
      <c r="N73">
        <v>954.3</v>
      </c>
    </row>
    <row r="74" spans="1:14" x14ac:dyDescent="0.25">
      <c r="A74">
        <v>73</v>
      </c>
      <c r="B74" t="s">
        <v>79</v>
      </c>
      <c r="C74" t="str">
        <f t="shared" si="1"/>
        <v>Jul</v>
      </c>
      <c r="D74">
        <f>YEAR(SalesData[[#This Row],[Date]])</f>
        <v>2024</v>
      </c>
      <c r="E74" t="s">
        <v>364</v>
      </c>
      <c r="F74" t="s">
        <v>370</v>
      </c>
      <c r="G74" t="s">
        <v>408</v>
      </c>
      <c r="H74" t="s">
        <v>486</v>
      </c>
      <c r="I74">
        <v>4352</v>
      </c>
      <c r="J74">
        <v>0.81</v>
      </c>
      <c r="K74">
        <v>3525.12</v>
      </c>
      <c r="L74">
        <v>0.6</v>
      </c>
      <c r="M74">
        <v>2611.1999999999998</v>
      </c>
      <c r="N74">
        <v>913.92</v>
      </c>
    </row>
    <row r="75" spans="1:14" x14ac:dyDescent="0.25">
      <c r="A75">
        <v>74</v>
      </c>
      <c r="B75" t="s">
        <v>80</v>
      </c>
      <c r="C75" t="str">
        <f t="shared" si="1"/>
        <v>Jun</v>
      </c>
      <c r="D75">
        <f>YEAR(SalesData[[#This Row],[Date]])</f>
        <v>2024</v>
      </c>
      <c r="E75" t="s">
        <v>363</v>
      </c>
      <c r="F75" t="s">
        <v>368</v>
      </c>
      <c r="G75" t="s">
        <v>427</v>
      </c>
      <c r="H75" t="s">
        <v>478</v>
      </c>
      <c r="I75">
        <v>754</v>
      </c>
      <c r="J75">
        <v>1.46</v>
      </c>
      <c r="K75">
        <v>1100.8399999999999</v>
      </c>
      <c r="L75">
        <v>0.95</v>
      </c>
      <c r="M75">
        <v>716.3</v>
      </c>
      <c r="N75">
        <v>384.54</v>
      </c>
    </row>
    <row r="76" spans="1:14" x14ac:dyDescent="0.25">
      <c r="A76">
        <v>75</v>
      </c>
      <c r="B76" t="s">
        <v>81</v>
      </c>
      <c r="C76" t="str">
        <f t="shared" si="1"/>
        <v>Jan</v>
      </c>
      <c r="D76">
        <f>YEAR(SalesData[[#This Row],[Date]])</f>
        <v>2024</v>
      </c>
      <c r="E76" t="s">
        <v>366</v>
      </c>
      <c r="F76" t="s">
        <v>368</v>
      </c>
      <c r="G76" t="s">
        <v>410</v>
      </c>
      <c r="H76" t="s">
        <v>483</v>
      </c>
      <c r="I76">
        <v>1437</v>
      </c>
      <c r="J76">
        <v>1.19</v>
      </c>
      <c r="K76">
        <v>1710.03</v>
      </c>
      <c r="L76">
        <v>0.78</v>
      </c>
      <c r="M76">
        <v>1120.8599999999999</v>
      </c>
      <c r="N76">
        <v>589.16999999999996</v>
      </c>
    </row>
    <row r="77" spans="1:14" x14ac:dyDescent="0.25">
      <c r="A77">
        <v>76</v>
      </c>
      <c r="B77" t="s">
        <v>82</v>
      </c>
      <c r="C77" t="str">
        <f t="shared" si="1"/>
        <v>Dec</v>
      </c>
      <c r="D77">
        <f>YEAR(SalesData[[#This Row],[Date]])</f>
        <v>2024</v>
      </c>
      <c r="E77" t="s">
        <v>365</v>
      </c>
      <c r="F77" t="s">
        <v>370</v>
      </c>
      <c r="G77" t="s">
        <v>397</v>
      </c>
      <c r="H77" t="s">
        <v>489</v>
      </c>
      <c r="I77">
        <v>1438</v>
      </c>
      <c r="J77">
        <v>1.34</v>
      </c>
      <c r="K77">
        <v>1926.92</v>
      </c>
      <c r="L77">
        <v>0.86</v>
      </c>
      <c r="M77">
        <v>1236.68</v>
      </c>
      <c r="N77">
        <v>690.24</v>
      </c>
    </row>
    <row r="78" spans="1:14" x14ac:dyDescent="0.25">
      <c r="A78">
        <v>77</v>
      </c>
      <c r="B78" t="s">
        <v>83</v>
      </c>
      <c r="C78" t="str">
        <f t="shared" si="1"/>
        <v>Jun</v>
      </c>
      <c r="D78">
        <f>YEAR(SalesData[[#This Row],[Date]])</f>
        <v>2024</v>
      </c>
      <c r="E78" t="s">
        <v>363</v>
      </c>
      <c r="F78" t="s">
        <v>367</v>
      </c>
      <c r="G78" t="s">
        <v>428</v>
      </c>
      <c r="H78" t="s">
        <v>479</v>
      </c>
      <c r="I78">
        <v>3574</v>
      </c>
      <c r="J78">
        <v>1.08</v>
      </c>
      <c r="K78">
        <v>3859.92</v>
      </c>
      <c r="L78">
        <v>0.84</v>
      </c>
      <c r="M78">
        <v>3002.16</v>
      </c>
      <c r="N78">
        <v>857.76</v>
      </c>
    </row>
    <row r="79" spans="1:14" x14ac:dyDescent="0.25">
      <c r="A79">
        <v>78</v>
      </c>
      <c r="B79" t="s">
        <v>84</v>
      </c>
      <c r="C79" t="str">
        <f t="shared" si="1"/>
        <v>Feb</v>
      </c>
      <c r="D79">
        <f>YEAR(SalesData[[#This Row],[Date]])</f>
        <v>2024</v>
      </c>
      <c r="E79" t="s">
        <v>363</v>
      </c>
      <c r="F79" t="s">
        <v>368</v>
      </c>
      <c r="G79" t="s">
        <v>429</v>
      </c>
      <c r="H79" t="s">
        <v>482</v>
      </c>
      <c r="I79">
        <v>1491</v>
      </c>
      <c r="J79">
        <v>1.36</v>
      </c>
      <c r="K79">
        <v>2027.76</v>
      </c>
      <c r="L79">
        <v>1.01</v>
      </c>
      <c r="M79">
        <v>1505.91</v>
      </c>
      <c r="N79">
        <v>521.85</v>
      </c>
    </row>
    <row r="80" spans="1:14" x14ac:dyDescent="0.25">
      <c r="A80">
        <v>79</v>
      </c>
      <c r="B80" t="s">
        <v>85</v>
      </c>
      <c r="C80" t="str">
        <f t="shared" si="1"/>
        <v>Jan</v>
      </c>
      <c r="D80">
        <f>YEAR(SalesData[[#This Row],[Date]])</f>
        <v>2024</v>
      </c>
      <c r="E80" t="s">
        <v>364</v>
      </c>
      <c r="F80" t="s">
        <v>370</v>
      </c>
      <c r="G80" t="s">
        <v>389</v>
      </c>
      <c r="H80" t="s">
        <v>475</v>
      </c>
      <c r="I80">
        <v>1064</v>
      </c>
      <c r="J80">
        <v>1.1499999999999999</v>
      </c>
      <c r="K80">
        <v>1223.5999999999999</v>
      </c>
      <c r="L80">
        <v>0.79</v>
      </c>
      <c r="M80">
        <v>840.56</v>
      </c>
      <c r="N80">
        <v>383.04</v>
      </c>
    </row>
    <row r="81" spans="1:14" x14ac:dyDescent="0.25">
      <c r="A81">
        <v>80</v>
      </c>
      <c r="B81" t="s">
        <v>75</v>
      </c>
      <c r="C81" t="str">
        <f t="shared" si="1"/>
        <v>Aug</v>
      </c>
      <c r="D81">
        <f>YEAR(SalesData[[#This Row],[Date]])</f>
        <v>2024</v>
      </c>
      <c r="E81" t="s">
        <v>363</v>
      </c>
      <c r="F81" t="s">
        <v>369</v>
      </c>
      <c r="G81" t="s">
        <v>416</v>
      </c>
      <c r="H81" t="s">
        <v>475</v>
      </c>
      <c r="I81">
        <v>4266</v>
      </c>
      <c r="J81">
        <v>1.3</v>
      </c>
      <c r="K81">
        <v>5545.8</v>
      </c>
      <c r="L81">
        <v>0.92</v>
      </c>
      <c r="M81">
        <v>3924.72</v>
      </c>
      <c r="N81">
        <v>1621.08</v>
      </c>
    </row>
    <row r="82" spans="1:14" x14ac:dyDescent="0.25">
      <c r="A82">
        <v>81</v>
      </c>
      <c r="B82" t="s">
        <v>86</v>
      </c>
      <c r="C82" t="str">
        <f t="shared" si="1"/>
        <v>Sep</v>
      </c>
      <c r="D82">
        <f>YEAR(SalesData[[#This Row],[Date]])</f>
        <v>2024</v>
      </c>
      <c r="E82" t="s">
        <v>364</v>
      </c>
      <c r="F82" t="s">
        <v>370</v>
      </c>
      <c r="G82" t="s">
        <v>394</v>
      </c>
      <c r="H82" t="s">
        <v>481</v>
      </c>
      <c r="I82">
        <v>2698</v>
      </c>
      <c r="J82">
        <v>1.03</v>
      </c>
      <c r="K82">
        <v>2778.94</v>
      </c>
      <c r="L82">
        <v>0.68</v>
      </c>
      <c r="M82">
        <v>1834.64</v>
      </c>
      <c r="N82">
        <v>944.3</v>
      </c>
    </row>
    <row r="83" spans="1:14" x14ac:dyDescent="0.25">
      <c r="A83">
        <v>82</v>
      </c>
      <c r="B83" t="s">
        <v>87</v>
      </c>
      <c r="C83" t="str">
        <f t="shared" si="1"/>
        <v>Feb</v>
      </c>
      <c r="D83">
        <f>YEAR(SalesData[[#This Row],[Date]])</f>
        <v>2024</v>
      </c>
      <c r="E83" t="s">
        <v>364</v>
      </c>
      <c r="F83" t="s">
        <v>370</v>
      </c>
      <c r="G83" t="s">
        <v>391</v>
      </c>
      <c r="H83" t="s">
        <v>473</v>
      </c>
      <c r="I83">
        <v>3604</v>
      </c>
      <c r="J83">
        <v>1.04</v>
      </c>
      <c r="K83">
        <v>3748.16</v>
      </c>
      <c r="L83">
        <v>0.75</v>
      </c>
      <c r="M83">
        <v>2703</v>
      </c>
      <c r="N83">
        <v>1045.1600000000001</v>
      </c>
    </row>
    <row r="84" spans="1:14" x14ac:dyDescent="0.25">
      <c r="A84">
        <v>83</v>
      </c>
      <c r="B84" t="s">
        <v>88</v>
      </c>
      <c r="C84" t="str">
        <f t="shared" si="1"/>
        <v>Jun</v>
      </c>
      <c r="D84">
        <f>YEAR(SalesData[[#This Row],[Date]])</f>
        <v>2024</v>
      </c>
      <c r="E84" t="s">
        <v>364</v>
      </c>
      <c r="F84" t="s">
        <v>368</v>
      </c>
      <c r="G84" t="s">
        <v>381</v>
      </c>
      <c r="H84" t="s">
        <v>475</v>
      </c>
      <c r="I84">
        <v>2616</v>
      </c>
      <c r="J84">
        <v>1.04</v>
      </c>
      <c r="K84">
        <v>2720.64</v>
      </c>
      <c r="L84">
        <v>0.85</v>
      </c>
      <c r="M84">
        <v>2223.6</v>
      </c>
      <c r="N84">
        <v>497.04</v>
      </c>
    </row>
    <row r="85" spans="1:14" x14ac:dyDescent="0.25">
      <c r="A85">
        <v>84</v>
      </c>
      <c r="B85" t="s">
        <v>89</v>
      </c>
      <c r="C85" t="str">
        <f t="shared" si="1"/>
        <v>Dec</v>
      </c>
      <c r="D85">
        <f>YEAR(SalesData[[#This Row],[Date]])</f>
        <v>2024</v>
      </c>
      <c r="E85" t="s">
        <v>363</v>
      </c>
      <c r="F85" t="s">
        <v>370</v>
      </c>
      <c r="G85" t="s">
        <v>430</v>
      </c>
      <c r="H85" t="s">
        <v>485</v>
      </c>
      <c r="I85">
        <v>1201</v>
      </c>
      <c r="J85">
        <v>0.97</v>
      </c>
      <c r="K85">
        <v>1164.97</v>
      </c>
      <c r="L85">
        <v>0.68</v>
      </c>
      <c r="M85">
        <v>816.68</v>
      </c>
      <c r="N85">
        <v>348.29</v>
      </c>
    </row>
    <row r="86" spans="1:14" x14ac:dyDescent="0.25">
      <c r="A86">
        <v>85</v>
      </c>
      <c r="B86" t="s">
        <v>90</v>
      </c>
      <c r="C86" t="str">
        <f t="shared" si="1"/>
        <v>Oct</v>
      </c>
      <c r="D86">
        <f>YEAR(SalesData[[#This Row],[Date]])</f>
        <v>2024</v>
      </c>
      <c r="E86" t="s">
        <v>364</v>
      </c>
      <c r="F86" t="s">
        <v>368</v>
      </c>
      <c r="G86" t="s">
        <v>431</v>
      </c>
      <c r="H86" t="s">
        <v>483</v>
      </c>
      <c r="I86">
        <v>4171</v>
      </c>
      <c r="J86">
        <v>1.36</v>
      </c>
      <c r="K86">
        <v>5672.56</v>
      </c>
      <c r="L86">
        <v>0.85</v>
      </c>
      <c r="M86">
        <v>3545.35</v>
      </c>
      <c r="N86">
        <v>2127.21</v>
      </c>
    </row>
    <row r="87" spans="1:14" x14ac:dyDescent="0.25">
      <c r="A87">
        <v>86</v>
      </c>
      <c r="B87" t="s">
        <v>91</v>
      </c>
      <c r="C87" t="str">
        <f t="shared" si="1"/>
        <v>Apr</v>
      </c>
      <c r="D87">
        <f>YEAR(SalesData[[#This Row],[Date]])</f>
        <v>2024</v>
      </c>
      <c r="E87" t="s">
        <v>366</v>
      </c>
      <c r="F87" t="s">
        <v>369</v>
      </c>
      <c r="G87" t="s">
        <v>428</v>
      </c>
      <c r="H87" t="s">
        <v>479</v>
      </c>
      <c r="I87">
        <v>3523</v>
      </c>
      <c r="J87">
        <v>1.1299999999999999</v>
      </c>
      <c r="K87">
        <v>3980.99</v>
      </c>
      <c r="L87">
        <v>0.83</v>
      </c>
      <c r="M87">
        <v>2924.09</v>
      </c>
      <c r="N87">
        <v>1056.9000000000001</v>
      </c>
    </row>
    <row r="88" spans="1:14" x14ac:dyDescent="0.25">
      <c r="A88">
        <v>87</v>
      </c>
      <c r="B88" t="s">
        <v>92</v>
      </c>
      <c r="C88" t="str">
        <f t="shared" si="1"/>
        <v>Aug</v>
      </c>
      <c r="D88">
        <f>YEAR(SalesData[[#This Row],[Date]])</f>
        <v>2024</v>
      </c>
      <c r="E88" t="s">
        <v>365</v>
      </c>
      <c r="F88" t="s">
        <v>370</v>
      </c>
      <c r="G88" t="s">
        <v>429</v>
      </c>
      <c r="H88" t="s">
        <v>473</v>
      </c>
      <c r="I88">
        <v>2719</v>
      </c>
      <c r="J88">
        <v>1.01</v>
      </c>
      <c r="K88">
        <v>2746.19</v>
      </c>
      <c r="L88">
        <v>0.66</v>
      </c>
      <c r="M88">
        <v>1794.54</v>
      </c>
      <c r="N88">
        <v>951.65</v>
      </c>
    </row>
    <row r="89" spans="1:14" x14ac:dyDescent="0.25">
      <c r="A89">
        <v>88</v>
      </c>
      <c r="B89" t="s">
        <v>93</v>
      </c>
      <c r="C89" t="str">
        <f t="shared" si="1"/>
        <v>Apr</v>
      </c>
      <c r="D89">
        <f>YEAR(SalesData[[#This Row],[Date]])</f>
        <v>2024</v>
      </c>
      <c r="E89" t="s">
        <v>363</v>
      </c>
      <c r="F89" t="s">
        <v>370</v>
      </c>
      <c r="G89" t="s">
        <v>432</v>
      </c>
      <c r="H89" t="s">
        <v>476</v>
      </c>
      <c r="I89">
        <v>2016</v>
      </c>
      <c r="J89">
        <v>0.93</v>
      </c>
      <c r="K89">
        <v>1874.88</v>
      </c>
      <c r="L89">
        <v>0.73</v>
      </c>
      <c r="M89">
        <v>1471.68</v>
      </c>
      <c r="N89">
        <v>403.2</v>
      </c>
    </row>
    <row r="90" spans="1:14" x14ac:dyDescent="0.25">
      <c r="A90">
        <v>89</v>
      </c>
      <c r="B90" t="s">
        <v>94</v>
      </c>
      <c r="C90" t="str">
        <f t="shared" si="1"/>
        <v>May</v>
      </c>
      <c r="D90">
        <f>YEAR(SalesData[[#This Row],[Date]])</f>
        <v>2024</v>
      </c>
      <c r="E90" t="s">
        <v>363</v>
      </c>
      <c r="F90" t="s">
        <v>370</v>
      </c>
      <c r="G90" t="s">
        <v>395</v>
      </c>
      <c r="H90" t="s">
        <v>482</v>
      </c>
      <c r="I90">
        <v>2363</v>
      </c>
      <c r="J90">
        <v>1.05</v>
      </c>
      <c r="K90">
        <v>2481.15</v>
      </c>
      <c r="L90">
        <v>0.71</v>
      </c>
      <c r="M90">
        <v>1677.73</v>
      </c>
      <c r="N90">
        <v>803.42</v>
      </c>
    </row>
    <row r="91" spans="1:14" x14ac:dyDescent="0.25">
      <c r="A91">
        <v>90</v>
      </c>
      <c r="B91" t="s">
        <v>95</v>
      </c>
      <c r="C91" t="str">
        <f t="shared" si="1"/>
        <v>Dec</v>
      </c>
      <c r="D91">
        <f>YEAR(SalesData[[#This Row],[Date]])</f>
        <v>2024</v>
      </c>
      <c r="E91" t="s">
        <v>365</v>
      </c>
      <c r="F91" t="s">
        <v>368</v>
      </c>
      <c r="G91" t="s">
        <v>377</v>
      </c>
      <c r="H91" t="s">
        <v>478</v>
      </c>
      <c r="I91">
        <v>2893</v>
      </c>
      <c r="J91">
        <v>1.29</v>
      </c>
      <c r="K91">
        <v>3731.97</v>
      </c>
      <c r="L91">
        <v>0.81</v>
      </c>
      <c r="M91">
        <v>2343.33</v>
      </c>
      <c r="N91">
        <v>1388.64</v>
      </c>
    </row>
    <row r="92" spans="1:14" x14ac:dyDescent="0.25">
      <c r="A92">
        <v>91</v>
      </c>
      <c r="B92" t="s">
        <v>96</v>
      </c>
      <c r="C92" t="str">
        <f t="shared" si="1"/>
        <v>Sep</v>
      </c>
      <c r="D92">
        <f>YEAR(SalesData[[#This Row],[Date]])</f>
        <v>2024</v>
      </c>
      <c r="E92" t="s">
        <v>363</v>
      </c>
      <c r="F92" t="s">
        <v>367</v>
      </c>
      <c r="G92" t="s">
        <v>415</v>
      </c>
      <c r="H92" t="s">
        <v>482</v>
      </c>
      <c r="I92">
        <v>4345</v>
      </c>
      <c r="J92">
        <v>1.1399999999999999</v>
      </c>
      <c r="K92">
        <v>4953.3</v>
      </c>
      <c r="L92">
        <v>0.78</v>
      </c>
      <c r="M92">
        <v>3389.1</v>
      </c>
      <c r="N92">
        <v>1564.2</v>
      </c>
    </row>
    <row r="93" spans="1:14" x14ac:dyDescent="0.25">
      <c r="A93">
        <v>92</v>
      </c>
      <c r="B93" t="s">
        <v>97</v>
      </c>
      <c r="C93" t="str">
        <f t="shared" si="1"/>
        <v>Jan</v>
      </c>
      <c r="D93">
        <f>YEAR(SalesData[[#This Row],[Date]])</f>
        <v>2024</v>
      </c>
      <c r="E93" t="s">
        <v>364</v>
      </c>
      <c r="F93" t="s">
        <v>370</v>
      </c>
      <c r="G93" t="s">
        <v>409</v>
      </c>
      <c r="H93" t="s">
        <v>486</v>
      </c>
      <c r="I93">
        <v>3782</v>
      </c>
      <c r="J93">
        <v>1.1399999999999999</v>
      </c>
      <c r="K93">
        <v>4311.4799999999996</v>
      </c>
      <c r="L93">
        <v>0.85</v>
      </c>
      <c r="M93">
        <v>3214.7</v>
      </c>
      <c r="N93">
        <v>1096.78</v>
      </c>
    </row>
    <row r="94" spans="1:14" x14ac:dyDescent="0.25">
      <c r="A94">
        <v>93</v>
      </c>
      <c r="B94" t="s">
        <v>98</v>
      </c>
      <c r="C94" t="str">
        <f t="shared" si="1"/>
        <v>Dec</v>
      </c>
      <c r="D94">
        <f>YEAR(SalesData[[#This Row],[Date]])</f>
        <v>2024</v>
      </c>
      <c r="E94" t="s">
        <v>366</v>
      </c>
      <c r="F94" t="s">
        <v>367</v>
      </c>
      <c r="G94" t="s">
        <v>399</v>
      </c>
      <c r="H94" t="s">
        <v>479</v>
      </c>
      <c r="I94">
        <v>2989</v>
      </c>
      <c r="J94">
        <v>0.86</v>
      </c>
      <c r="K94">
        <v>2570.54</v>
      </c>
      <c r="L94">
        <v>0.56999999999999995</v>
      </c>
      <c r="M94">
        <v>1703.73</v>
      </c>
      <c r="N94">
        <v>866.81</v>
      </c>
    </row>
    <row r="95" spans="1:14" x14ac:dyDescent="0.25">
      <c r="A95">
        <v>94</v>
      </c>
      <c r="B95" t="s">
        <v>99</v>
      </c>
      <c r="C95" t="str">
        <f t="shared" si="1"/>
        <v>Oct</v>
      </c>
      <c r="D95">
        <f>YEAR(SalesData[[#This Row],[Date]])</f>
        <v>2024</v>
      </c>
      <c r="E95" t="s">
        <v>366</v>
      </c>
      <c r="F95" t="s">
        <v>369</v>
      </c>
      <c r="G95" t="s">
        <v>427</v>
      </c>
      <c r="H95" t="s">
        <v>490</v>
      </c>
      <c r="I95">
        <v>3616</v>
      </c>
      <c r="J95">
        <v>1.1200000000000001</v>
      </c>
      <c r="K95">
        <v>4049.92</v>
      </c>
      <c r="L95">
        <v>0.8</v>
      </c>
      <c r="M95">
        <v>2892.8</v>
      </c>
      <c r="N95">
        <v>1157.1199999999999</v>
      </c>
    </row>
    <row r="96" spans="1:14" x14ac:dyDescent="0.25">
      <c r="A96">
        <v>95</v>
      </c>
      <c r="B96" t="s">
        <v>100</v>
      </c>
      <c r="C96" t="str">
        <f t="shared" si="1"/>
        <v>Oct</v>
      </c>
      <c r="D96">
        <f>YEAR(SalesData[[#This Row],[Date]])</f>
        <v>2024</v>
      </c>
      <c r="E96" t="s">
        <v>365</v>
      </c>
      <c r="F96" t="s">
        <v>369</v>
      </c>
      <c r="G96" t="s">
        <v>433</v>
      </c>
      <c r="H96" t="s">
        <v>489</v>
      </c>
      <c r="I96">
        <v>993</v>
      </c>
      <c r="J96">
        <v>1.23</v>
      </c>
      <c r="K96">
        <v>1221.3900000000001</v>
      </c>
      <c r="L96">
        <v>0.97</v>
      </c>
      <c r="M96">
        <v>963.21</v>
      </c>
      <c r="N96">
        <v>258.18</v>
      </c>
    </row>
    <row r="97" spans="1:14" x14ac:dyDescent="0.25">
      <c r="A97">
        <v>96</v>
      </c>
      <c r="B97" t="s">
        <v>101</v>
      </c>
      <c r="C97" t="str">
        <f t="shared" si="1"/>
        <v>Apr</v>
      </c>
      <c r="D97">
        <f>YEAR(SalesData[[#This Row],[Date]])</f>
        <v>2024</v>
      </c>
      <c r="E97" t="s">
        <v>365</v>
      </c>
      <c r="F97" t="s">
        <v>368</v>
      </c>
      <c r="G97" t="s">
        <v>389</v>
      </c>
      <c r="H97" t="s">
        <v>486</v>
      </c>
      <c r="I97">
        <v>1786</v>
      </c>
      <c r="J97">
        <v>0.97</v>
      </c>
      <c r="K97">
        <v>1732.42</v>
      </c>
      <c r="L97">
        <v>0.72</v>
      </c>
      <c r="M97">
        <v>1285.92</v>
      </c>
      <c r="N97">
        <v>446.5</v>
      </c>
    </row>
    <row r="98" spans="1:14" x14ac:dyDescent="0.25">
      <c r="A98">
        <v>97</v>
      </c>
      <c r="B98" t="s">
        <v>42</v>
      </c>
      <c r="C98" t="str">
        <f t="shared" si="1"/>
        <v>Mar</v>
      </c>
      <c r="D98">
        <f>YEAR(SalesData[[#This Row],[Date]])</f>
        <v>2024</v>
      </c>
      <c r="E98" t="s">
        <v>364</v>
      </c>
      <c r="F98" t="s">
        <v>367</v>
      </c>
      <c r="G98" t="s">
        <v>434</v>
      </c>
      <c r="H98" t="s">
        <v>489</v>
      </c>
      <c r="I98">
        <v>4349</v>
      </c>
      <c r="J98">
        <v>1</v>
      </c>
      <c r="K98">
        <v>4349</v>
      </c>
      <c r="L98">
        <v>0.66</v>
      </c>
      <c r="M98">
        <v>2870.34</v>
      </c>
      <c r="N98">
        <v>1478.66</v>
      </c>
    </row>
    <row r="99" spans="1:14" x14ac:dyDescent="0.25">
      <c r="A99">
        <v>98</v>
      </c>
      <c r="B99" t="s">
        <v>51</v>
      </c>
      <c r="C99" t="str">
        <f t="shared" si="1"/>
        <v>Dec</v>
      </c>
      <c r="D99">
        <f>YEAR(SalesData[[#This Row],[Date]])</f>
        <v>2024</v>
      </c>
      <c r="E99" t="s">
        <v>364</v>
      </c>
      <c r="F99" t="s">
        <v>370</v>
      </c>
      <c r="G99" t="s">
        <v>392</v>
      </c>
      <c r="H99" t="s">
        <v>477</v>
      </c>
      <c r="I99">
        <v>2667</v>
      </c>
      <c r="J99">
        <v>1.35</v>
      </c>
      <c r="K99">
        <v>3600.45</v>
      </c>
      <c r="L99">
        <v>1.02</v>
      </c>
      <c r="M99">
        <v>2720.34</v>
      </c>
      <c r="N99">
        <v>880.11</v>
      </c>
    </row>
    <row r="100" spans="1:14" x14ac:dyDescent="0.25">
      <c r="A100">
        <v>99</v>
      </c>
      <c r="B100" t="s">
        <v>102</v>
      </c>
      <c r="C100" t="str">
        <f t="shared" si="1"/>
        <v>Dec</v>
      </c>
      <c r="D100">
        <f>YEAR(SalesData[[#This Row],[Date]])</f>
        <v>2024</v>
      </c>
      <c r="E100" t="s">
        <v>364</v>
      </c>
      <c r="F100" t="s">
        <v>368</v>
      </c>
      <c r="G100" t="s">
        <v>409</v>
      </c>
      <c r="H100" t="s">
        <v>476</v>
      </c>
      <c r="I100">
        <v>2341</v>
      </c>
      <c r="J100">
        <v>1.25</v>
      </c>
      <c r="K100">
        <v>2926.25</v>
      </c>
      <c r="L100">
        <v>1.03</v>
      </c>
      <c r="M100">
        <v>2411.23</v>
      </c>
      <c r="N100">
        <v>515.02</v>
      </c>
    </row>
    <row r="101" spans="1:14" x14ac:dyDescent="0.25">
      <c r="A101">
        <v>100</v>
      </c>
      <c r="B101" t="s">
        <v>103</v>
      </c>
      <c r="C101" t="str">
        <f t="shared" si="1"/>
        <v>Mar</v>
      </c>
      <c r="D101">
        <f>YEAR(SalesData[[#This Row],[Date]])</f>
        <v>2024</v>
      </c>
      <c r="E101" t="s">
        <v>363</v>
      </c>
      <c r="F101" t="s">
        <v>367</v>
      </c>
      <c r="G101" t="s">
        <v>397</v>
      </c>
      <c r="H101" t="s">
        <v>482</v>
      </c>
      <c r="I101">
        <v>2864</v>
      </c>
      <c r="J101">
        <v>1.1100000000000001</v>
      </c>
      <c r="K101">
        <v>3179.04</v>
      </c>
      <c r="L101">
        <v>0.8</v>
      </c>
      <c r="M101">
        <v>2291.1999999999998</v>
      </c>
      <c r="N101">
        <v>887.84</v>
      </c>
    </row>
    <row r="102" spans="1:14" x14ac:dyDescent="0.25">
      <c r="A102">
        <v>101</v>
      </c>
      <c r="B102" t="s">
        <v>104</v>
      </c>
      <c r="C102" t="str">
        <f t="shared" si="1"/>
        <v>Jun</v>
      </c>
      <c r="D102">
        <f>YEAR(SalesData[[#This Row],[Date]])</f>
        <v>2024</v>
      </c>
      <c r="E102" t="s">
        <v>365</v>
      </c>
      <c r="F102" t="s">
        <v>369</v>
      </c>
      <c r="G102" t="s">
        <v>405</v>
      </c>
      <c r="H102" t="s">
        <v>476</v>
      </c>
      <c r="I102">
        <v>4545</v>
      </c>
      <c r="J102">
        <v>1.1100000000000001</v>
      </c>
      <c r="K102">
        <v>5044.95</v>
      </c>
      <c r="L102">
        <v>0.83</v>
      </c>
      <c r="M102">
        <v>3772.35</v>
      </c>
      <c r="N102">
        <v>1272.5999999999999</v>
      </c>
    </row>
    <row r="103" spans="1:14" x14ac:dyDescent="0.25">
      <c r="A103">
        <v>102</v>
      </c>
      <c r="B103" t="s">
        <v>105</v>
      </c>
      <c r="C103" t="str">
        <f t="shared" si="1"/>
        <v>Aug</v>
      </c>
      <c r="D103">
        <f>YEAR(SalesData[[#This Row],[Date]])</f>
        <v>2024</v>
      </c>
      <c r="E103" t="s">
        <v>365</v>
      </c>
      <c r="F103" t="s">
        <v>370</v>
      </c>
      <c r="G103" t="s">
        <v>435</v>
      </c>
      <c r="H103" t="s">
        <v>486</v>
      </c>
      <c r="I103">
        <v>2375</v>
      </c>
      <c r="J103">
        <v>1.47</v>
      </c>
      <c r="K103">
        <v>3491.25</v>
      </c>
      <c r="L103">
        <v>1.19</v>
      </c>
      <c r="M103">
        <v>2826.25</v>
      </c>
      <c r="N103">
        <v>665</v>
      </c>
    </row>
    <row r="104" spans="1:14" x14ac:dyDescent="0.25">
      <c r="A104">
        <v>103</v>
      </c>
      <c r="B104" t="s">
        <v>106</v>
      </c>
      <c r="C104" t="str">
        <f t="shared" si="1"/>
        <v>Oct</v>
      </c>
      <c r="D104">
        <f>YEAR(SalesData[[#This Row],[Date]])</f>
        <v>2024</v>
      </c>
      <c r="E104" t="s">
        <v>365</v>
      </c>
      <c r="F104" t="s">
        <v>367</v>
      </c>
      <c r="G104" t="s">
        <v>415</v>
      </c>
      <c r="H104" t="s">
        <v>478</v>
      </c>
      <c r="I104">
        <v>1935</v>
      </c>
      <c r="J104">
        <v>1.1299999999999999</v>
      </c>
      <c r="K104">
        <v>2186.5500000000002</v>
      </c>
      <c r="L104">
        <v>0.86</v>
      </c>
      <c r="M104">
        <v>1664.1</v>
      </c>
      <c r="N104">
        <v>522.45000000000005</v>
      </c>
    </row>
    <row r="105" spans="1:14" x14ac:dyDescent="0.25">
      <c r="A105">
        <v>104</v>
      </c>
      <c r="B105" t="s">
        <v>58</v>
      </c>
      <c r="C105" t="str">
        <f t="shared" si="1"/>
        <v>May</v>
      </c>
      <c r="D105">
        <f>YEAR(SalesData[[#This Row],[Date]])</f>
        <v>2024</v>
      </c>
      <c r="E105" t="s">
        <v>364</v>
      </c>
      <c r="F105" t="s">
        <v>368</v>
      </c>
      <c r="G105" t="s">
        <v>436</v>
      </c>
      <c r="H105" t="s">
        <v>483</v>
      </c>
      <c r="I105">
        <v>1247</v>
      </c>
      <c r="J105">
        <v>1.1299999999999999</v>
      </c>
      <c r="K105">
        <v>1409.11</v>
      </c>
      <c r="L105">
        <v>0.79</v>
      </c>
      <c r="M105">
        <v>985.13</v>
      </c>
      <c r="N105">
        <v>423.98</v>
      </c>
    </row>
    <row r="106" spans="1:14" x14ac:dyDescent="0.25">
      <c r="A106">
        <v>105</v>
      </c>
      <c r="B106" t="s">
        <v>65</v>
      </c>
      <c r="C106" t="str">
        <f t="shared" si="1"/>
        <v>Jun</v>
      </c>
      <c r="D106">
        <f>YEAR(SalesData[[#This Row],[Date]])</f>
        <v>2024</v>
      </c>
      <c r="E106" t="s">
        <v>366</v>
      </c>
      <c r="F106" t="s">
        <v>367</v>
      </c>
      <c r="G106" t="s">
        <v>423</v>
      </c>
      <c r="H106" t="s">
        <v>481</v>
      </c>
      <c r="I106">
        <v>4558</v>
      </c>
      <c r="J106">
        <v>1</v>
      </c>
      <c r="K106">
        <v>4558</v>
      </c>
      <c r="L106">
        <v>0.84</v>
      </c>
      <c r="M106">
        <v>3828.72</v>
      </c>
      <c r="N106">
        <v>729.28</v>
      </c>
    </row>
    <row r="107" spans="1:14" x14ac:dyDescent="0.25">
      <c r="A107">
        <v>106</v>
      </c>
      <c r="B107" t="s">
        <v>107</v>
      </c>
      <c r="C107" t="str">
        <f t="shared" si="1"/>
        <v>Oct</v>
      </c>
      <c r="D107">
        <f>YEAR(SalesData[[#This Row],[Date]])</f>
        <v>2024</v>
      </c>
      <c r="E107" t="s">
        <v>364</v>
      </c>
      <c r="F107" t="s">
        <v>367</v>
      </c>
      <c r="G107" t="s">
        <v>437</v>
      </c>
      <c r="H107" t="s">
        <v>487</v>
      </c>
      <c r="I107">
        <v>2567</v>
      </c>
      <c r="J107">
        <v>1.03</v>
      </c>
      <c r="K107">
        <v>2644.01</v>
      </c>
      <c r="L107">
        <v>0.87</v>
      </c>
      <c r="M107">
        <v>2233.29</v>
      </c>
      <c r="N107">
        <v>410.72</v>
      </c>
    </row>
    <row r="108" spans="1:14" x14ac:dyDescent="0.25">
      <c r="A108">
        <v>107</v>
      </c>
      <c r="B108" t="s">
        <v>108</v>
      </c>
      <c r="C108" t="str">
        <f t="shared" si="1"/>
        <v>Jul</v>
      </c>
      <c r="D108">
        <f>YEAR(SalesData[[#This Row],[Date]])</f>
        <v>2024</v>
      </c>
      <c r="E108" t="s">
        <v>364</v>
      </c>
      <c r="F108" t="s">
        <v>367</v>
      </c>
      <c r="G108" t="s">
        <v>438</v>
      </c>
      <c r="H108" t="s">
        <v>478</v>
      </c>
      <c r="I108">
        <v>2036</v>
      </c>
      <c r="J108">
        <v>1.1599999999999999</v>
      </c>
      <c r="K108">
        <v>2361.7600000000002</v>
      </c>
      <c r="L108">
        <v>0.88</v>
      </c>
      <c r="M108">
        <v>1791.68</v>
      </c>
      <c r="N108">
        <v>570.08000000000004</v>
      </c>
    </row>
    <row r="109" spans="1:14" x14ac:dyDescent="0.25">
      <c r="A109">
        <v>108</v>
      </c>
      <c r="B109" t="s">
        <v>109</v>
      </c>
      <c r="C109" t="str">
        <f t="shared" si="1"/>
        <v>Sep</v>
      </c>
      <c r="D109">
        <f>YEAR(SalesData[[#This Row],[Date]])</f>
        <v>2024</v>
      </c>
      <c r="E109" t="s">
        <v>363</v>
      </c>
      <c r="F109" t="s">
        <v>369</v>
      </c>
      <c r="G109" t="s">
        <v>439</v>
      </c>
      <c r="H109" t="s">
        <v>471</v>
      </c>
      <c r="I109">
        <v>4999</v>
      </c>
      <c r="J109">
        <v>0.89</v>
      </c>
      <c r="K109">
        <v>4449.1099999999997</v>
      </c>
      <c r="L109">
        <v>0.6</v>
      </c>
      <c r="M109">
        <v>2999.4</v>
      </c>
      <c r="N109">
        <v>1449.71</v>
      </c>
    </row>
    <row r="110" spans="1:14" x14ac:dyDescent="0.25">
      <c r="A110">
        <v>109</v>
      </c>
      <c r="B110" t="s">
        <v>110</v>
      </c>
      <c r="C110" t="str">
        <f t="shared" si="1"/>
        <v>Dec</v>
      </c>
      <c r="D110">
        <f>YEAR(SalesData[[#This Row],[Date]])</f>
        <v>2024</v>
      </c>
      <c r="E110" t="s">
        <v>363</v>
      </c>
      <c r="F110" t="s">
        <v>369</v>
      </c>
      <c r="G110" t="s">
        <v>435</v>
      </c>
      <c r="H110" t="s">
        <v>489</v>
      </c>
      <c r="I110">
        <v>2460</v>
      </c>
      <c r="J110">
        <v>1.3</v>
      </c>
      <c r="K110">
        <v>3198</v>
      </c>
      <c r="L110">
        <v>0.88</v>
      </c>
      <c r="M110">
        <v>2164.8000000000002</v>
      </c>
      <c r="N110">
        <v>1033.2</v>
      </c>
    </row>
    <row r="111" spans="1:14" x14ac:dyDescent="0.25">
      <c r="A111">
        <v>110</v>
      </c>
      <c r="B111" t="s">
        <v>38</v>
      </c>
      <c r="C111" t="str">
        <f t="shared" si="1"/>
        <v>Jan</v>
      </c>
      <c r="D111">
        <f>YEAR(SalesData[[#This Row],[Date]])</f>
        <v>2024</v>
      </c>
      <c r="E111" t="s">
        <v>363</v>
      </c>
      <c r="F111" t="s">
        <v>369</v>
      </c>
      <c r="G111" t="s">
        <v>373</v>
      </c>
      <c r="H111" t="s">
        <v>488</v>
      </c>
      <c r="I111">
        <v>4280</v>
      </c>
      <c r="J111">
        <v>1.46</v>
      </c>
      <c r="K111">
        <v>6248.8</v>
      </c>
      <c r="L111">
        <v>1.1100000000000001</v>
      </c>
      <c r="M111">
        <v>4750.8</v>
      </c>
      <c r="N111">
        <v>1498</v>
      </c>
    </row>
    <row r="112" spans="1:14" x14ac:dyDescent="0.25">
      <c r="A112">
        <v>111</v>
      </c>
      <c r="B112" t="s">
        <v>111</v>
      </c>
      <c r="C112" t="str">
        <f t="shared" si="1"/>
        <v>Mar</v>
      </c>
      <c r="D112">
        <f>YEAR(SalesData[[#This Row],[Date]])</f>
        <v>2024</v>
      </c>
      <c r="E112" t="s">
        <v>365</v>
      </c>
      <c r="F112" t="s">
        <v>369</v>
      </c>
      <c r="G112" t="s">
        <v>417</v>
      </c>
      <c r="H112" t="s">
        <v>471</v>
      </c>
      <c r="I112">
        <v>3903</v>
      </c>
      <c r="J112">
        <v>1.38</v>
      </c>
      <c r="K112">
        <v>5386.14</v>
      </c>
      <c r="L112">
        <v>1.17</v>
      </c>
      <c r="M112">
        <v>4566.51</v>
      </c>
      <c r="N112">
        <v>819.63</v>
      </c>
    </row>
    <row r="113" spans="1:14" x14ac:dyDescent="0.25">
      <c r="A113">
        <v>112</v>
      </c>
      <c r="B113" t="s">
        <v>112</v>
      </c>
      <c r="C113" t="str">
        <f t="shared" si="1"/>
        <v>May</v>
      </c>
      <c r="D113">
        <f>YEAR(SalesData[[#This Row],[Date]])</f>
        <v>2024</v>
      </c>
      <c r="E113" t="s">
        <v>366</v>
      </c>
      <c r="F113" t="s">
        <v>369</v>
      </c>
      <c r="G113" t="s">
        <v>440</v>
      </c>
      <c r="H113" t="s">
        <v>485</v>
      </c>
      <c r="I113">
        <v>4663</v>
      </c>
      <c r="J113">
        <v>1.32</v>
      </c>
      <c r="K113">
        <v>6155.16</v>
      </c>
      <c r="L113">
        <v>0.84</v>
      </c>
      <c r="M113">
        <v>3916.92</v>
      </c>
      <c r="N113">
        <v>2238.2399999999998</v>
      </c>
    </row>
    <row r="114" spans="1:14" x14ac:dyDescent="0.25">
      <c r="A114">
        <v>113</v>
      </c>
      <c r="B114" t="s">
        <v>29</v>
      </c>
      <c r="C114" t="str">
        <f t="shared" si="1"/>
        <v>Feb</v>
      </c>
      <c r="D114">
        <f>YEAR(SalesData[[#This Row],[Date]])</f>
        <v>2024</v>
      </c>
      <c r="E114" t="s">
        <v>364</v>
      </c>
      <c r="F114" t="s">
        <v>370</v>
      </c>
      <c r="G114" t="s">
        <v>425</v>
      </c>
      <c r="H114" t="s">
        <v>490</v>
      </c>
      <c r="I114">
        <v>2688</v>
      </c>
      <c r="J114">
        <v>1.37</v>
      </c>
      <c r="K114">
        <v>3682.56</v>
      </c>
      <c r="L114">
        <v>0.92</v>
      </c>
      <c r="M114">
        <v>2472.96</v>
      </c>
      <c r="N114">
        <v>1209.5999999999999</v>
      </c>
    </row>
    <row r="115" spans="1:14" x14ac:dyDescent="0.25">
      <c r="A115">
        <v>114</v>
      </c>
      <c r="B115" t="s">
        <v>76</v>
      </c>
      <c r="C115" t="str">
        <f t="shared" si="1"/>
        <v>Jun</v>
      </c>
      <c r="D115">
        <f>YEAR(SalesData[[#This Row],[Date]])</f>
        <v>2024</v>
      </c>
      <c r="E115" t="s">
        <v>366</v>
      </c>
      <c r="F115" t="s">
        <v>369</v>
      </c>
      <c r="G115" t="s">
        <v>434</v>
      </c>
      <c r="H115" t="s">
        <v>476</v>
      </c>
      <c r="I115">
        <v>4467</v>
      </c>
      <c r="J115">
        <v>1.04</v>
      </c>
      <c r="K115">
        <v>4645.68</v>
      </c>
      <c r="L115">
        <v>0.77</v>
      </c>
      <c r="M115">
        <v>3439.59</v>
      </c>
      <c r="N115">
        <v>1206.0899999999999</v>
      </c>
    </row>
    <row r="116" spans="1:14" x14ac:dyDescent="0.25">
      <c r="A116">
        <v>115</v>
      </c>
      <c r="B116" t="s">
        <v>113</v>
      </c>
      <c r="C116" t="str">
        <f t="shared" si="1"/>
        <v>Oct</v>
      </c>
      <c r="D116">
        <f>YEAR(SalesData[[#This Row],[Date]])</f>
        <v>2024</v>
      </c>
      <c r="E116" t="s">
        <v>364</v>
      </c>
      <c r="F116" t="s">
        <v>369</v>
      </c>
      <c r="G116" t="s">
        <v>441</v>
      </c>
      <c r="H116" t="s">
        <v>485</v>
      </c>
      <c r="I116">
        <v>2456</v>
      </c>
      <c r="J116">
        <v>1.2</v>
      </c>
      <c r="K116">
        <v>2947.2</v>
      </c>
      <c r="L116">
        <v>0.79</v>
      </c>
      <c r="M116">
        <v>1940.24</v>
      </c>
      <c r="N116">
        <v>1006.96</v>
      </c>
    </row>
    <row r="117" spans="1:14" x14ac:dyDescent="0.25">
      <c r="A117">
        <v>116</v>
      </c>
      <c r="B117" t="s">
        <v>114</v>
      </c>
      <c r="C117" t="str">
        <f t="shared" si="1"/>
        <v>Jul</v>
      </c>
      <c r="D117">
        <f>YEAR(SalesData[[#This Row],[Date]])</f>
        <v>2024</v>
      </c>
      <c r="E117" t="s">
        <v>365</v>
      </c>
      <c r="F117" t="s">
        <v>367</v>
      </c>
      <c r="G117" t="s">
        <v>432</v>
      </c>
      <c r="H117" t="s">
        <v>483</v>
      </c>
      <c r="I117">
        <v>3623</v>
      </c>
      <c r="J117">
        <v>1.07</v>
      </c>
      <c r="K117">
        <v>3876.61</v>
      </c>
      <c r="L117">
        <v>0.82</v>
      </c>
      <c r="M117">
        <v>2970.86</v>
      </c>
      <c r="N117">
        <v>905.75</v>
      </c>
    </row>
    <row r="118" spans="1:14" x14ac:dyDescent="0.25">
      <c r="A118">
        <v>117</v>
      </c>
      <c r="B118" t="s">
        <v>115</v>
      </c>
      <c r="C118" t="str">
        <f t="shared" si="1"/>
        <v>Nov</v>
      </c>
      <c r="D118">
        <f>YEAR(SalesData[[#This Row],[Date]])</f>
        <v>2024</v>
      </c>
      <c r="E118" t="s">
        <v>364</v>
      </c>
      <c r="F118" t="s">
        <v>368</v>
      </c>
      <c r="G118" t="s">
        <v>372</v>
      </c>
      <c r="H118" t="s">
        <v>474</v>
      </c>
      <c r="I118">
        <v>4614</v>
      </c>
      <c r="J118">
        <v>1.48</v>
      </c>
      <c r="K118">
        <v>6828.72</v>
      </c>
      <c r="L118">
        <v>1.01</v>
      </c>
      <c r="M118">
        <v>4660.1400000000003</v>
      </c>
      <c r="N118">
        <v>2168.58</v>
      </c>
    </row>
    <row r="119" spans="1:14" x14ac:dyDescent="0.25">
      <c r="A119">
        <v>118</v>
      </c>
      <c r="B119" t="s">
        <v>19</v>
      </c>
      <c r="C119" t="str">
        <f t="shared" si="1"/>
        <v>Feb</v>
      </c>
      <c r="D119">
        <f>YEAR(SalesData[[#This Row],[Date]])</f>
        <v>2024</v>
      </c>
      <c r="E119" t="s">
        <v>363</v>
      </c>
      <c r="F119" t="s">
        <v>369</v>
      </c>
      <c r="G119" t="s">
        <v>442</v>
      </c>
      <c r="H119" t="s">
        <v>473</v>
      </c>
      <c r="I119">
        <v>625</v>
      </c>
      <c r="J119">
        <v>1.31</v>
      </c>
      <c r="K119">
        <v>818.75</v>
      </c>
      <c r="L119">
        <v>0.92</v>
      </c>
      <c r="M119">
        <v>575</v>
      </c>
      <c r="N119">
        <v>243.75</v>
      </c>
    </row>
    <row r="120" spans="1:14" x14ac:dyDescent="0.25">
      <c r="A120">
        <v>119</v>
      </c>
      <c r="B120" t="s">
        <v>116</v>
      </c>
      <c r="C120" t="str">
        <f t="shared" si="1"/>
        <v>Dec</v>
      </c>
      <c r="D120">
        <f>YEAR(SalesData[[#This Row],[Date]])</f>
        <v>2024</v>
      </c>
      <c r="E120" t="s">
        <v>363</v>
      </c>
      <c r="F120" t="s">
        <v>368</v>
      </c>
      <c r="G120" t="s">
        <v>393</v>
      </c>
      <c r="H120" t="s">
        <v>471</v>
      </c>
      <c r="I120">
        <v>3273</v>
      </c>
      <c r="J120">
        <v>1.24</v>
      </c>
      <c r="K120">
        <v>4058.52</v>
      </c>
      <c r="L120">
        <v>0.87</v>
      </c>
      <c r="M120">
        <v>2847.51</v>
      </c>
      <c r="N120">
        <v>1211.01</v>
      </c>
    </row>
    <row r="121" spans="1:14" x14ac:dyDescent="0.25">
      <c r="A121">
        <v>120</v>
      </c>
      <c r="B121" t="s">
        <v>117</v>
      </c>
      <c r="C121" t="str">
        <f t="shared" si="1"/>
        <v>Feb</v>
      </c>
      <c r="D121">
        <f>YEAR(SalesData[[#This Row],[Date]])</f>
        <v>2024</v>
      </c>
      <c r="E121" t="s">
        <v>364</v>
      </c>
      <c r="F121" t="s">
        <v>370</v>
      </c>
      <c r="G121" t="s">
        <v>404</v>
      </c>
      <c r="H121" t="s">
        <v>483</v>
      </c>
      <c r="I121">
        <v>4932</v>
      </c>
      <c r="J121">
        <v>0.83</v>
      </c>
      <c r="K121">
        <v>4093.56</v>
      </c>
      <c r="L121">
        <v>0.51</v>
      </c>
      <c r="M121">
        <v>2515.3200000000002</v>
      </c>
      <c r="N121">
        <v>1578.24</v>
      </c>
    </row>
    <row r="122" spans="1:14" x14ac:dyDescent="0.25">
      <c r="A122">
        <v>121</v>
      </c>
      <c r="B122" t="s">
        <v>118</v>
      </c>
      <c r="C122" t="str">
        <f t="shared" si="1"/>
        <v>Nov</v>
      </c>
      <c r="D122">
        <f>YEAR(SalesData[[#This Row],[Date]])</f>
        <v>2024</v>
      </c>
      <c r="E122" t="s">
        <v>366</v>
      </c>
      <c r="F122" t="s">
        <v>370</v>
      </c>
      <c r="G122" t="s">
        <v>432</v>
      </c>
      <c r="H122" t="s">
        <v>486</v>
      </c>
      <c r="I122">
        <v>4055</v>
      </c>
      <c r="J122">
        <v>1.48</v>
      </c>
      <c r="K122">
        <v>6001.4</v>
      </c>
      <c r="L122">
        <v>1.17</v>
      </c>
      <c r="M122">
        <v>4744.3500000000004</v>
      </c>
      <c r="N122">
        <v>1257.05</v>
      </c>
    </row>
    <row r="123" spans="1:14" x14ac:dyDescent="0.25">
      <c r="A123">
        <v>122</v>
      </c>
      <c r="B123" t="s">
        <v>119</v>
      </c>
      <c r="C123" t="str">
        <f t="shared" si="1"/>
        <v>Dec</v>
      </c>
      <c r="D123">
        <f>YEAR(SalesData[[#This Row],[Date]])</f>
        <v>2024</v>
      </c>
      <c r="E123" t="s">
        <v>364</v>
      </c>
      <c r="F123" t="s">
        <v>367</v>
      </c>
      <c r="G123" t="s">
        <v>397</v>
      </c>
      <c r="H123" t="s">
        <v>482</v>
      </c>
      <c r="I123">
        <v>737</v>
      </c>
      <c r="J123">
        <v>0.83</v>
      </c>
      <c r="K123">
        <v>611.71</v>
      </c>
      <c r="L123">
        <v>0.66</v>
      </c>
      <c r="M123">
        <v>486.42</v>
      </c>
      <c r="N123">
        <v>125.29</v>
      </c>
    </row>
    <row r="124" spans="1:14" x14ac:dyDescent="0.25">
      <c r="A124">
        <v>123</v>
      </c>
      <c r="B124" t="s">
        <v>120</v>
      </c>
      <c r="C124" t="str">
        <f t="shared" si="1"/>
        <v>May</v>
      </c>
      <c r="D124">
        <f>YEAR(SalesData[[#This Row],[Date]])</f>
        <v>2024</v>
      </c>
      <c r="E124" t="s">
        <v>365</v>
      </c>
      <c r="F124" t="s">
        <v>370</v>
      </c>
      <c r="G124" t="s">
        <v>416</v>
      </c>
      <c r="H124" t="s">
        <v>474</v>
      </c>
      <c r="I124">
        <v>2500</v>
      </c>
      <c r="J124">
        <v>1.17</v>
      </c>
      <c r="K124">
        <v>2925</v>
      </c>
      <c r="L124">
        <v>0.87</v>
      </c>
      <c r="M124">
        <v>2175</v>
      </c>
      <c r="N124">
        <v>750</v>
      </c>
    </row>
    <row r="125" spans="1:14" x14ac:dyDescent="0.25">
      <c r="A125">
        <v>124</v>
      </c>
      <c r="B125" t="s">
        <v>121</v>
      </c>
      <c r="C125" t="str">
        <f t="shared" si="1"/>
        <v>Apr</v>
      </c>
      <c r="D125">
        <f>YEAR(SalesData[[#This Row],[Date]])</f>
        <v>2024</v>
      </c>
      <c r="E125" t="s">
        <v>366</v>
      </c>
      <c r="F125" t="s">
        <v>368</v>
      </c>
      <c r="G125" t="s">
        <v>376</v>
      </c>
      <c r="H125" t="s">
        <v>489</v>
      </c>
      <c r="I125">
        <v>3633</v>
      </c>
      <c r="J125">
        <v>1.23</v>
      </c>
      <c r="K125">
        <v>4468.59</v>
      </c>
      <c r="L125">
        <v>0.81</v>
      </c>
      <c r="M125">
        <v>2942.73</v>
      </c>
      <c r="N125">
        <v>1525.86</v>
      </c>
    </row>
    <row r="126" spans="1:14" x14ac:dyDescent="0.25">
      <c r="A126">
        <v>125</v>
      </c>
      <c r="B126" t="s">
        <v>52</v>
      </c>
      <c r="C126" t="str">
        <f t="shared" si="1"/>
        <v>Oct</v>
      </c>
      <c r="D126">
        <f>YEAR(SalesData[[#This Row],[Date]])</f>
        <v>2024</v>
      </c>
      <c r="E126" t="s">
        <v>366</v>
      </c>
      <c r="F126" t="s">
        <v>368</v>
      </c>
      <c r="G126" t="s">
        <v>394</v>
      </c>
      <c r="H126" t="s">
        <v>471</v>
      </c>
      <c r="I126">
        <v>4264</v>
      </c>
      <c r="J126">
        <v>0.98</v>
      </c>
      <c r="K126">
        <v>4178.72</v>
      </c>
      <c r="L126">
        <v>0.59</v>
      </c>
      <c r="M126">
        <v>2515.7600000000002</v>
      </c>
      <c r="N126">
        <v>1662.96</v>
      </c>
    </row>
    <row r="127" spans="1:14" x14ac:dyDescent="0.25">
      <c r="A127">
        <v>126</v>
      </c>
      <c r="B127" t="s">
        <v>122</v>
      </c>
      <c r="C127" t="str">
        <f t="shared" si="1"/>
        <v>Aug</v>
      </c>
      <c r="D127">
        <f>YEAR(SalesData[[#This Row],[Date]])</f>
        <v>2024</v>
      </c>
      <c r="E127" t="s">
        <v>366</v>
      </c>
      <c r="F127" t="s">
        <v>370</v>
      </c>
      <c r="G127" t="s">
        <v>392</v>
      </c>
      <c r="H127" t="s">
        <v>473</v>
      </c>
      <c r="I127">
        <v>3330</v>
      </c>
      <c r="J127">
        <v>1.49</v>
      </c>
      <c r="K127">
        <v>4961.7</v>
      </c>
      <c r="L127">
        <v>1.01</v>
      </c>
      <c r="M127">
        <v>3363.3</v>
      </c>
      <c r="N127">
        <v>1598.4</v>
      </c>
    </row>
    <row r="128" spans="1:14" x14ac:dyDescent="0.25">
      <c r="A128">
        <v>127</v>
      </c>
      <c r="B128" t="s">
        <v>92</v>
      </c>
      <c r="C128" t="str">
        <f t="shared" si="1"/>
        <v>Aug</v>
      </c>
      <c r="D128">
        <f>YEAR(SalesData[[#This Row],[Date]])</f>
        <v>2024</v>
      </c>
      <c r="E128" t="s">
        <v>364</v>
      </c>
      <c r="F128" t="s">
        <v>370</v>
      </c>
      <c r="G128" t="s">
        <v>443</v>
      </c>
      <c r="H128" t="s">
        <v>485</v>
      </c>
      <c r="I128">
        <v>3651</v>
      </c>
      <c r="J128">
        <v>1.4</v>
      </c>
      <c r="K128">
        <v>5111.3999999999996</v>
      </c>
      <c r="L128">
        <v>0.88</v>
      </c>
      <c r="M128">
        <v>3212.88</v>
      </c>
      <c r="N128">
        <v>1898.52</v>
      </c>
    </row>
    <row r="129" spans="1:14" x14ac:dyDescent="0.25">
      <c r="A129">
        <v>128</v>
      </c>
      <c r="B129" t="s">
        <v>123</v>
      </c>
      <c r="C129" t="str">
        <f t="shared" si="1"/>
        <v>Jul</v>
      </c>
      <c r="D129">
        <f>YEAR(SalesData[[#This Row],[Date]])</f>
        <v>2024</v>
      </c>
      <c r="E129" t="s">
        <v>365</v>
      </c>
      <c r="F129" t="s">
        <v>370</v>
      </c>
      <c r="G129" t="s">
        <v>429</v>
      </c>
      <c r="H129" t="s">
        <v>482</v>
      </c>
      <c r="I129">
        <v>679</v>
      </c>
      <c r="J129">
        <v>1.48</v>
      </c>
      <c r="K129">
        <v>1004.92</v>
      </c>
      <c r="L129">
        <v>1.1299999999999999</v>
      </c>
      <c r="M129">
        <v>767.27</v>
      </c>
      <c r="N129">
        <v>237.65</v>
      </c>
    </row>
    <row r="130" spans="1:14" x14ac:dyDescent="0.25">
      <c r="A130">
        <v>129</v>
      </c>
      <c r="B130" t="s">
        <v>124</v>
      </c>
      <c r="C130" t="str">
        <f t="shared" ref="C130:C193" si="2">TEXT(B130,"mmm")</f>
        <v>May</v>
      </c>
      <c r="D130">
        <f>YEAR(SalesData[[#This Row],[Date]])</f>
        <v>2024</v>
      </c>
      <c r="E130" t="s">
        <v>363</v>
      </c>
      <c r="F130" t="s">
        <v>367</v>
      </c>
      <c r="G130" t="s">
        <v>444</v>
      </c>
      <c r="H130" t="s">
        <v>483</v>
      </c>
      <c r="I130">
        <v>2844</v>
      </c>
      <c r="J130">
        <v>1.34</v>
      </c>
      <c r="K130">
        <v>3810.96</v>
      </c>
      <c r="L130">
        <v>0.88</v>
      </c>
      <c r="M130">
        <v>2502.7199999999998</v>
      </c>
      <c r="N130">
        <v>1308.24</v>
      </c>
    </row>
    <row r="131" spans="1:14" x14ac:dyDescent="0.25">
      <c r="A131">
        <v>130</v>
      </c>
      <c r="B131" t="s">
        <v>125</v>
      </c>
      <c r="C131" t="str">
        <f t="shared" si="2"/>
        <v>Jun</v>
      </c>
      <c r="D131">
        <f>YEAR(SalesData[[#This Row],[Date]])</f>
        <v>2024</v>
      </c>
      <c r="E131" t="s">
        <v>366</v>
      </c>
      <c r="F131" t="s">
        <v>368</v>
      </c>
      <c r="G131" t="s">
        <v>402</v>
      </c>
      <c r="H131" t="s">
        <v>471</v>
      </c>
      <c r="I131">
        <v>1620</v>
      </c>
      <c r="J131">
        <v>1.24</v>
      </c>
      <c r="K131">
        <v>2008.8</v>
      </c>
      <c r="L131">
        <v>1.02</v>
      </c>
      <c r="M131">
        <v>1652.4</v>
      </c>
      <c r="N131">
        <v>356.4</v>
      </c>
    </row>
    <row r="132" spans="1:14" x14ac:dyDescent="0.25">
      <c r="A132">
        <v>131</v>
      </c>
      <c r="B132" t="s">
        <v>45</v>
      </c>
      <c r="C132" t="str">
        <f t="shared" si="2"/>
        <v>Nov</v>
      </c>
      <c r="D132">
        <f>YEAR(SalesData[[#This Row],[Date]])</f>
        <v>2024</v>
      </c>
      <c r="E132" t="s">
        <v>365</v>
      </c>
      <c r="F132" t="s">
        <v>367</v>
      </c>
      <c r="G132" t="s">
        <v>396</v>
      </c>
      <c r="H132" t="s">
        <v>478</v>
      </c>
      <c r="I132">
        <v>3488</v>
      </c>
      <c r="J132">
        <v>1.31</v>
      </c>
      <c r="K132">
        <v>4569.28</v>
      </c>
      <c r="L132">
        <v>0.82</v>
      </c>
      <c r="M132">
        <v>2860.16</v>
      </c>
      <c r="N132">
        <v>1709.12</v>
      </c>
    </row>
    <row r="133" spans="1:14" x14ac:dyDescent="0.25">
      <c r="A133">
        <v>132</v>
      </c>
      <c r="B133" t="s">
        <v>126</v>
      </c>
      <c r="C133" t="str">
        <f t="shared" si="2"/>
        <v>May</v>
      </c>
      <c r="D133">
        <f>YEAR(SalesData[[#This Row],[Date]])</f>
        <v>2024</v>
      </c>
      <c r="E133" t="s">
        <v>364</v>
      </c>
      <c r="F133" t="s">
        <v>370</v>
      </c>
      <c r="G133" t="s">
        <v>445</v>
      </c>
      <c r="H133" t="s">
        <v>485</v>
      </c>
      <c r="I133">
        <v>1582</v>
      </c>
      <c r="J133">
        <v>1.35</v>
      </c>
      <c r="K133">
        <v>2135.6999999999998</v>
      </c>
      <c r="L133">
        <v>1.1100000000000001</v>
      </c>
      <c r="M133">
        <v>1756.02</v>
      </c>
      <c r="N133">
        <v>379.68</v>
      </c>
    </row>
    <row r="134" spans="1:14" x14ac:dyDescent="0.25">
      <c r="A134">
        <v>133</v>
      </c>
      <c r="B134" t="s">
        <v>127</v>
      </c>
      <c r="C134" t="str">
        <f t="shared" si="2"/>
        <v>Jul</v>
      </c>
      <c r="D134">
        <f>YEAR(SalesData[[#This Row],[Date]])</f>
        <v>2024</v>
      </c>
      <c r="E134" t="s">
        <v>366</v>
      </c>
      <c r="F134" t="s">
        <v>370</v>
      </c>
      <c r="G134" t="s">
        <v>408</v>
      </c>
      <c r="H134" t="s">
        <v>483</v>
      </c>
      <c r="I134">
        <v>2917</v>
      </c>
      <c r="J134">
        <v>1.32</v>
      </c>
      <c r="K134">
        <v>3850.44</v>
      </c>
      <c r="L134">
        <v>0.9</v>
      </c>
      <c r="M134">
        <v>2625.3</v>
      </c>
      <c r="N134">
        <v>1225.1400000000001</v>
      </c>
    </row>
    <row r="135" spans="1:14" x14ac:dyDescent="0.25">
      <c r="A135">
        <v>134</v>
      </c>
      <c r="B135" t="s">
        <v>128</v>
      </c>
      <c r="C135" t="str">
        <f t="shared" si="2"/>
        <v>Feb</v>
      </c>
      <c r="D135">
        <f>YEAR(SalesData[[#This Row],[Date]])</f>
        <v>2024</v>
      </c>
      <c r="E135" t="s">
        <v>363</v>
      </c>
      <c r="F135" t="s">
        <v>369</v>
      </c>
      <c r="G135" t="s">
        <v>446</v>
      </c>
      <c r="H135" t="s">
        <v>477</v>
      </c>
      <c r="I135">
        <v>3755</v>
      </c>
      <c r="J135">
        <v>1.48</v>
      </c>
      <c r="K135">
        <v>5557.4</v>
      </c>
      <c r="L135">
        <v>1.19</v>
      </c>
      <c r="M135">
        <v>4468.45</v>
      </c>
      <c r="N135">
        <v>1088.95</v>
      </c>
    </row>
    <row r="136" spans="1:14" x14ac:dyDescent="0.25">
      <c r="A136">
        <v>135</v>
      </c>
      <c r="B136" t="s">
        <v>127</v>
      </c>
      <c r="C136" t="str">
        <f t="shared" si="2"/>
        <v>Jul</v>
      </c>
      <c r="D136">
        <f>YEAR(SalesData[[#This Row],[Date]])</f>
        <v>2024</v>
      </c>
      <c r="E136" t="s">
        <v>364</v>
      </c>
      <c r="F136" t="s">
        <v>367</v>
      </c>
      <c r="G136" t="s">
        <v>447</v>
      </c>
      <c r="H136" t="s">
        <v>471</v>
      </c>
      <c r="I136">
        <v>4895</v>
      </c>
      <c r="J136">
        <v>0.89</v>
      </c>
      <c r="K136">
        <v>4356.55</v>
      </c>
      <c r="L136">
        <v>0.62</v>
      </c>
      <c r="M136">
        <v>3034.9</v>
      </c>
      <c r="N136">
        <v>1321.65</v>
      </c>
    </row>
    <row r="137" spans="1:14" x14ac:dyDescent="0.25">
      <c r="A137">
        <v>136</v>
      </c>
      <c r="B137" t="s">
        <v>129</v>
      </c>
      <c r="C137" t="str">
        <f t="shared" si="2"/>
        <v>Dec</v>
      </c>
      <c r="D137">
        <f>YEAR(SalesData[[#This Row],[Date]])</f>
        <v>2024</v>
      </c>
      <c r="E137" t="s">
        <v>364</v>
      </c>
      <c r="F137" t="s">
        <v>370</v>
      </c>
      <c r="G137" t="s">
        <v>436</v>
      </c>
      <c r="H137" t="s">
        <v>475</v>
      </c>
      <c r="I137">
        <v>1387</v>
      </c>
      <c r="J137">
        <v>1.27</v>
      </c>
      <c r="K137">
        <v>1761.49</v>
      </c>
      <c r="L137">
        <v>0.91</v>
      </c>
      <c r="M137">
        <v>1262.17</v>
      </c>
      <c r="N137">
        <v>499.32</v>
      </c>
    </row>
    <row r="138" spans="1:14" x14ac:dyDescent="0.25">
      <c r="A138">
        <v>137</v>
      </c>
      <c r="B138" t="s">
        <v>130</v>
      </c>
      <c r="C138" t="str">
        <f t="shared" si="2"/>
        <v>Nov</v>
      </c>
      <c r="D138">
        <f>YEAR(SalesData[[#This Row],[Date]])</f>
        <v>2024</v>
      </c>
      <c r="E138" t="s">
        <v>366</v>
      </c>
      <c r="F138" t="s">
        <v>370</v>
      </c>
      <c r="G138" t="s">
        <v>431</v>
      </c>
      <c r="H138" t="s">
        <v>486</v>
      </c>
      <c r="I138">
        <v>4303</v>
      </c>
      <c r="J138">
        <v>1.44</v>
      </c>
      <c r="K138">
        <v>6196.32</v>
      </c>
      <c r="L138">
        <v>0.97</v>
      </c>
      <c r="M138">
        <v>4173.91</v>
      </c>
      <c r="N138">
        <v>2022.41</v>
      </c>
    </row>
    <row r="139" spans="1:14" x14ac:dyDescent="0.25">
      <c r="A139">
        <v>138</v>
      </c>
      <c r="B139" t="s">
        <v>131</v>
      </c>
      <c r="C139" t="str">
        <f t="shared" si="2"/>
        <v>Jul</v>
      </c>
      <c r="D139">
        <f>YEAR(SalesData[[#This Row],[Date]])</f>
        <v>2024</v>
      </c>
      <c r="E139" t="s">
        <v>366</v>
      </c>
      <c r="F139" t="s">
        <v>367</v>
      </c>
      <c r="G139" t="s">
        <v>377</v>
      </c>
      <c r="H139" t="s">
        <v>478</v>
      </c>
      <c r="I139">
        <v>2993</v>
      </c>
      <c r="J139">
        <v>1.5</v>
      </c>
      <c r="K139">
        <v>4489.5</v>
      </c>
      <c r="L139">
        <v>0.94</v>
      </c>
      <c r="M139">
        <v>2813.42</v>
      </c>
      <c r="N139">
        <v>1676.08</v>
      </c>
    </row>
    <row r="140" spans="1:14" x14ac:dyDescent="0.25">
      <c r="A140">
        <v>139</v>
      </c>
      <c r="B140" t="s">
        <v>67</v>
      </c>
      <c r="C140" t="str">
        <f t="shared" si="2"/>
        <v>Apr</v>
      </c>
      <c r="D140">
        <f>YEAR(SalesData[[#This Row],[Date]])</f>
        <v>2024</v>
      </c>
      <c r="E140" t="s">
        <v>364</v>
      </c>
      <c r="F140" t="s">
        <v>368</v>
      </c>
      <c r="G140" t="s">
        <v>378</v>
      </c>
      <c r="H140" t="s">
        <v>475</v>
      </c>
      <c r="I140">
        <v>4925</v>
      </c>
      <c r="J140">
        <v>1.0900000000000001</v>
      </c>
      <c r="K140">
        <v>5368.25</v>
      </c>
      <c r="L140">
        <v>0.86</v>
      </c>
      <c r="M140">
        <v>4235.5</v>
      </c>
      <c r="N140">
        <v>1132.75</v>
      </c>
    </row>
    <row r="141" spans="1:14" x14ac:dyDescent="0.25">
      <c r="A141">
        <v>140</v>
      </c>
      <c r="B141" t="s">
        <v>132</v>
      </c>
      <c r="C141" t="str">
        <f t="shared" si="2"/>
        <v>Mar</v>
      </c>
      <c r="D141">
        <f>YEAR(SalesData[[#This Row],[Date]])</f>
        <v>2024</v>
      </c>
      <c r="E141" t="s">
        <v>363</v>
      </c>
      <c r="F141" t="s">
        <v>369</v>
      </c>
      <c r="G141" t="s">
        <v>387</v>
      </c>
      <c r="H141" t="s">
        <v>489</v>
      </c>
      <c r="I141">
        <v>3843</v>
      </c>
      <c r="J141">
        <v>1.46</v>
      </c>
      <c r="K141">
        <v>5610.78</v>
      </c>
      <c r="L141">
        <v>0.98</v>
      </c>
      <c r="M141">
        <v>3766.14</v>
      </c>
      <c r="N141">
        <v>1844.64</v>
      </c>
    </row>
    <row r="142" spans="1:14" x14ac:dyDescent="0.25">
      <c r="A142">
        <v>141</v>
      </c>
      <c r="B142" t="s">
        <v>133</v>
      </c>
      <c r="C142" t="str">
        <f t="shared" si="2"/>
        <v>Dec</v>
      </c>
      <c r="D142">
        <f>YEAR(SalesData[[#This Row],[Date]])</f>
        <v>2024</v>
      </c>
      <c r="E142" t="s">
        <v>366</v>
      </c>
      <c r="F142" t="s">
        <v>370</v>
      </c>
      <c r="G142" t="s">
        <v>396</v>
      </c>
      <c r="H142" t="s">
        <v>473</v>
      </c>
      <c r="I142">
        <v>2434</v>
      </c>
      <c r="J142">
        <v>1.4</v>
      </c>
      <c r="K142">
        <v>3407.6</v>
      </c>
      <c r="L142">
        <v>0.87</v>
      </c>
      <c r="M142">
        <v>2117.58</v>
      </c>
      <c r="N142">
        <v>1290.02</v>
      </c>
    </row>
    <row r="143" spans="1:14" x14ac:dyDescent="0.25">
      <c r="A143">
        <v>142</v>
      </c>
      <c r="B143" t="s">
        <v>98</v>
      </c>
      <c r="C143" t="str">
        <f t="shared" si="2"/>
        <v>Dec</v>
      </c>
      <c r="D143">
        <f>YEAR(SalesData[[#This Row],[Date]])</f>
        <v>2024</v>
      </c>
      <c r="E143" t="s">
        <v>365</v>
      </c>
      <c r="F143" t="s">
        <v>370</v>
      </c>
      <c r="G143" t="s">
        <v>400</v>
      </c>
      <c r="H143" t="s">
        <v>484</v>
      </c>
      <c r="I143">
        <v>2760</v>
      </c>
      <c r="J143">
        <v>0.93</v>
      </c>
      <c r="K143">
        <v>2566.8000000000002</v>
      </c>
      <c r="L143">
        <v>0.59</v>
      </c>
      <c r="M143">
        <v>1628.4</v>
      </c>
      <c r="N143">
        <v>938.4</v>
      </c>
    </row>
    <row r="144" spans="1:14" x14ac:dyDescent="0.25">
      <c r="A144">
        <v>143</v>
      </c>
      <c r="B144" t="s">
        <v>134</v>
      </c>
      <c r="C144" t="str">
        <f t="shared" si="2"/>
        <v>Aug</v>
      </c>
      <c r="D144">
        <f>YEAR(SalesData[[#This Row],[Date]])</f>
        <v>2024</v>
      </c>
      <c r="E144" t="s">
        <v>366</v>
      </c>
      <c r="F144" t="s">
        <v>367</v>
      </c>
      <c r="G144" t="s">
        <v>431</v>
      </c>
      <c r="H144" t="s">
        <v>489</v>
      </c>
      <c r="I144">
        <v>674</v>
      </c>
      <c r="J144">
        <v>0.84</v>
      </c>
      <c r="K144">
        <v>566.16</v>
      </c>
      <c r="L144">
        <v>0.56999999999999995</v>
      </c>
      <c r="M144">
        <v>384.18</v>
      </c>
      <c r="N144">
        <v>181.98</v>
      </c>
    </row>
    <row r="145" spans="1:14" x14ac:dyDescent="0.25">
      <c r="A145">
        <v>144</v>
      </c>
      <c r="B145" t="s">
        <v>135</v>
      </c>
      <c r="C145" t="str">
        <f t="shared" si="2"/>
        <v>Mar</v>
      </c>
      <c r="D145">
        <f>YEAR(SalesData[[#This Row],[Date]])</f>
        <v>2024</v>
      </c>
      <c r="E145" t="s">
        <v>363</v>
      </c>
      <c r="F145" t="s">
        <v>368</v>
      </c>
      <c r="G145" t="s">
        <v>424</v>
      </c>
      <c r="H145" t="s">
        <v>476</v>
      </c>
      <c r="I145">
        <v>2197</v>
      </c>
      <c r="J145">
        <v>1.21</v>
      </c>
      <c r="K145">
        <v>2658.37</v>
      </c>
      <c r="L145">
        <v>0.97</v>
      </c>
      <c r="M145">
        <v>2131.09</v>
      </c>
      <c r="N145">
        <v>527.28</v>
      </c>
    </row>
    <row r="146" spans="1:14" x14ac:dyDescent="0.25">
      <c r="A146">
        <v>145</v>
      </c>
      <c r="B146" t="s">
        <v>136</v>
      </c>
      <c r="C146" t="str">
        <f t="shared" si="2"/>
        <v>Apr</v>
      </c>
      <c r="D146">
        <f>YEAR(SalesData[[#This Row],[Date]])</f>
        <v>2024</v>
      </c>
      <c r="E146" t="s">
        <v>366</v>
      </c>
      <c r="F146" t="s">
        <v>370</v>
      </c>
      <c r="G146" t="s">
        <v>448</v>
      </c>
      <c r="H146" t="s">
        <v>472</v>
      </c>
      <c r="I146">
        <v>2771</v>
      </c>
      <c r="J146">
        <v>1.4</v>
      </c>
      <c r="K146">
        <v>3879.4</v>
      </c>
      <c r="L146">
        <v>0.89</v>
      </c>
      <c r="M146">
        <v>2466.19</v>
      </c>
      <c r="N146">
        <v>1413.21</v>
      </c>
    </row>
    <row r="147" spans="1:14" x14ac:dyDescent="0.25">
      <c r="A147">
        <v>146</v>
      </c>
      <c r="B147" t="s">
        <v>137</v>
      </c>
      <c r="C147" t="str">
        <f t="shared" si="2"/>
        <v>Mar</v>
      </c>
      <c r="D147">
        <f>YEAR(SalesData[[#This Row],[Date]])</f>
        <v>2024</v>
      </c>
      <c r="E147" t="s">
        <v>366</v>
      </c>
      <c r="F147" t="s">
        <v>370</v>
      </c>
      <c r="G147" t="s">
        <v>409</v>
      </c>
      <c r="H147" t="s">
        <v>472</v>
      </c>
      <c r="I147">
        <v>1579</v>
      </c>
      <c r="J147">
        <v>0.81</v>
      </c>
      <c r="K147">
        <v>1278.99</v>
      </c>
      <c r="L147">
        <v>0.65</v>
      </c>
      <c r="M147">
        <v>1026.3499999999999</v>
      </c>
      <c r="N147">
        <v>252.64</v>
      </c>
    </row>
    <row r="148" spans="1:14" x14ac:dyDescent="0.25">
      <c r="A148">
        <v>147</v>
      </c>
      <c r="B148" t="s">
        <v>138</v>
      </c>
      <c r="C148" t="str">
        <f t="shared" si="2"/>
        <v>May</v>
      </c>
      <c r="D148">
        <f>YEAR(SalesData[[#This Row],[Date]])</f>
        <v>2024</v>
      </c>
      <c r="E148" t="s">
        <v>363</v>
      </c>
      <c r="F148" t="s">
        <v>370</v>
      </c>
      <c r="G148" t="s">
        <v>445</v>
      </c>
      <c r="H148" t="s">
        <v>471</v>
      </c>
      <c r="I148">
        <v>929</v>
      </c>
      <c r="J148">
        <v>0.89</v>
      </c>
      <c r="K148">
        <v>826.81</v>
      </c>
      <c r="L148">
        <v>0.63</v>
      </c>
      <c r="M148">
        <v>585.27</v>
      </c>
      <c r="N148">
        <v>241.54</v>
      </c>
    </row>
    <row r="149" spans="1:14" x14ac:dyDescent="0.25">
      <c r="A149">
        <v>148</v>
      </c>
      <c r="B149" t="s">
        <v>128</v>
      </c>
      <c r="C149" t="str">
        <f t="shared" si="2"/>
        <v>Feb</v>
      </c>
      <c r="D149">
        <f>YEAR(SalesData[[#This Row],[Date]])</f>
        <v>2024</v>
      </c>
      <c r="E149" t="s">
        <v>364</v>
      </c>
      <c r="F149" t="s">
        <v>367</v>
      </c>
      <c r="G149" t="s">
        <v>434</v>
      </c>
      <c r="H149" t="s">
        <v>475</v>
      </c>
      <c r="I149">
        <v>4704</v>
      </c>
      <c r="J149">
        <v>1.22</v>
      </c>
      <c r="K149">
        <v>5738.88</v>
      </c>
      <c r="L149">
        <v>0.87</v>
      </c>
      <c r="M149">
        <v>4092.48</v>
      </c>
      <c r="N149">
        <v>1646.4</v>
      </c>
    </row>
    <row r="150" spans="1:14" x14ac:dyDescent="0.25">
      <c r="A150">
        <v>149</v>
      </c>
      <c r="B150" t="s">
        <v>91</v>
      </c>
      <c r="C150" t="str">
        <f t="shared" si="2"/>
        <v>Apr</v>
      </c>
      <c r="D150">
        <f>YEAR(SalesData[[#This Row],[Date]])</f>
        <v>2024</v>
      </c>
      <c r="E150" t="s">
        <v>365</v>
      </c>
      <c r="F150" t="s">
        <v>367</v>
      </c>
      <c r="G150" t="s">
        <v>378</v>
      </c>
      <c r="H150" t="s">
        <v>472</v>
      </c>
      <c r="I150">
        <v>998</v>
      </c>
      <c r="J150">
        <v>1.5</v>
      </c>
      <c r="K150">
        <v>1497</v>
      </c>
      <c r="L150">
        <v>1.22</v>
      </c>
      <c r="M150">
        <v>1217.56</v>
      </c>
      <c r="N150">
        <v>279.44</v>
      </c>
    </row>
    <row r="151" spans="1:14" x14ac:dyDescent="0.25">
      <c r="A151">
        <v>150</v>
      </c>
      <c r="B151" t="s">
        <v>139</v>
      </c>
      <c r="C151" t="str">
        <f t="shared" si="2"/>
        <v>Aug</v>
      </c>
      <c r="D151">
        <f>YEAR(SalesData[[#This Row],[Date]])</f>
        <v>2024</v>
      </c>
      <c r="E151" t="s">
        <v>364</v>
      </c>
      <c r="F151" t="s">
        <v>367</v>
      </c>
      <c r="G151" t="s">
        <v>390</v>
      </c>
      <c r="H151" t="s">
        <v>473</v>
      </c>
      <c r="I151">
        <v>1102</v>
      </c>
      <c r="J151">
        <v>1.43</v>
      </c>
      <c r="K151">
        <v>1575.86</v>
      </c>
      <c r="L151">
        <v>0.97</v>
      </c>
      <c r="M151">
        <v>1068.94</v>
      </c>
      <c r="N151">
        <v>506.92</v>
      </c>
    </row>
    <row r="152" spans="1:14" x14ac:dyDescent="0.25">
      <c r="A152">
        <v>151</v>
      </c>
      <c r="B152" t="s">
        <v>140</v>
      </c>
      <c r="C152" t="str">
        <f t="shared" si="2"/>
        <v>Mar</v>
      </c>
      <c r="D152">
        <f>YEAR(SalesData[[#This Row],[Date]])</f>
        <v>2024</v>
      </c>
      <c r="E152" t="s">
        <v>366</v>
      </c>
      <c r="F152" t="s">
        <v>367</v>
      </c>
      <c r="G152" t="s">
        <v>374</v>
      </c>
      <c r="H152" t="s">
        <v>489</v>
      </c>
      <c r="I152">
        <v>4992</v>
      </c>
      <c r="J152">
        <v>1.3</v>
      </c>
      <c r="K152">
        <v>6489.6</v>
      </c>
      <c r="L152">
        <v>0.9</v>
      </c>
      <c r="M152">
        <v>4492.8</v>
      </c>
      <c r="N152">
        <v>1996.8</v>
      </c>
    </row>
    <row r="153" spans="1:14" x14ac:dyDescent="0.25">
      <c r="A153">
        <v>152</v>
      </c>
      <c r="B153" t="s">
        <v>25</v>
      </c>
      <c r="C153" t="str">
        <f t="shared" si="2"/>
        <v>Nov</v>
      </c>
      <c r="D153">
        <f>YEAR(SalesData[[#This Row],[Date]])</f>
        <v>2024</v>
      </c>
      <c r="E153" t="s">
        <v>364</v>
      </c>
      <c r="F153" t="s">
        <v>370</v>
      </c>
      <c r="G153" t="s">
        <v>405</v>
      </c>
      <c r="H153" t="s">
        <v>489</v>
      </c>
      <c r="I153">
        <v>4024</v>
      </c>
      <c r="J153">
        <v>0.87</v>
      </c>
      <c r="K153">
        <v>3500.88</v>
      </c>
      <c r="L153">
        <v>0.67</v>
      </c>
      <c r="M153">
        <v>2696.08</v>
      </c>
      <c r="N153">
        <v>804.8</v>
      </c>
    </row>
    <row r="154" spans="1:14" x14ac:dyDescent="0.25">
      <c r="A154">
        <v>153</v>
      </c>
      <c r="B154" t="s">
        <v>116</v>
      </c>
      <c r="C154" t="str">
        <f t="shared" si="2"/>
        <v>Dec</v>
      </c>
      <c r="D154">
        <f>YEAR(SalesData[[#This Row],[Date]])</f>
        <v>2024</v>
      </c>
      <c r="E154" t="s">
        <v>364</v>
      </c>
      <c r="F154" t="s">
        <v>368</v>
      </c>
      <c r="G154" t="s">
        <v>434</v>
      </c>
      <c r="H154" t="s">
        <v>477</v>
      </c>
      <c r="I154">
        <v>3889</v>
      </c>
      <c r="J154">
        <v>1.04</v>
      </c>
      <c r="K154">
        <v>4044.56</v>
      </c>
      <c r="L154">
        <v>0.74</v>
      </c>
      <c r="M154">
        <v>2877.86</v>
      </c>
      <c r="N154">
        <v>1166.7</v>
      </c>
    </row>
    <row r="155" spans="1:14" x14ac:dyDescent="0.25">
      <c r="A155">
        <v>154</v>
      </c>
      <c r="B155" t="s">
        <v>141</v>
      </c>
      <c r="C155" t="str">
        <f t="shared" si="2"/>
        <v>Jul</v>
      </c>
      <c r="D155">
        <f>YEAR(SalesData[[#This Row],[Date]])</f>
        <v>2024</v>
      </c>
      <c r="E155" t="s">
        <v>365</v>
      </c>
      <c r="F155" t="s">
        <v>367</v>
      </c>
      <c r="G155" t="s">
        <v>449</v>
      </c>
      <c r="H155" t="s">
        <v>487</v>
      </c>
      <c r="I155">
        <v>2588</v>
      </c>
      <c r="J155">
        <v>1.06</v>
      </c>
      <c r="K155">
        <v>2743.28</v>
      </c>
      <c r="L155">
        <v>0.68</v>
      </c>
      <c r="M155">
        <v>1759.84</v>
      </c>
      <c r="N155">
        <v>983.44</v>
      </c>
    </row>
    <row r="156" spans="1:14" x14ac:dyDescent="0.25">
      <c r="A156">
        <v>155</v>
      </c>
      <c r="B156" t="s">
        <v>142</v>
      </c>
      <c r="C156" t="str">
        <f t="shared" si="2"/>
        <v>Aug</v>
      </c>
      <c r="D156">
        <f>YEAR(SalesData[[#This Row],[Date]])</f>
        <v>2024</v>
      </c>
      <c r="E156" t="s">
        <v>363</v>
      </c>
      <c r="F156" t="s">
        <v>367</v>
      </c>
      <c r="G156" t="s">
        <v>376</v>
      </c>
      <c r="H156" t="s">
        <v>486</v>
      </c>
      <c r="I156">
        <v>4037</v>
      </c>
      <c r="J156">
        <v>0.87</v>
      </c>
      <c r="K156">
        <v>3512.19</v>
      </c>
      <c r="L156">
        <v>0.68</v>
      </c>
      <c r="M156">
        <v>2745.16</v>
      </c>
      <c r="N156">
        <v>767.03</v>
      </c>
    </row>
    <row r="157" spans="1:14" x14ac:dyDescent="0.25">
      <c r="A157">
        <v>156</v>
      </c>
      <c r="B157" t="s">
        <v>137</v>
      </c>
      <c r="C157" t="str">
        <f t="shared" si="2"/>
        <v>Mar</v>
      </c>
      <c r="D157">
        <f>YEAR(SalesData[[#This Row],[Date]])</f>
        <v>2024</v>
      </c>
      <c r="E157" t="s">
        <v>365</v>
      </c>
      <c r="F157" t="s">
        <v>367</v>
      </c>
      <c r="G157" t="s">
        <v>403</v>
      </c>
      <c r="H157" t="s">
        <v>488</v>
      </c>
      <c r="I157">
        <v>3865</v>
      </c>
      <c r="J157">
        <v>1.05</v>
      </c>
      <c r="K157">
        <v>4058.25</v>
      </c>
      <c r="L157">
        <v>0.8</v>
      </c>
      <c r="M157">
        <v>3092</v>
      </c>
      <c r="N157">
        <v>966.25</v>
      </c>
    </row>
    <row r="158" spans="1:14" x14ac:dyDescent="0.25">
      <c r="A158">
        <v>157</v>
      </c>
      <c r="B158" t="s">
        <v>30</v>
      </c>
      <c r="C158" t="str">
        <f t="shared" si="2"/>
        <v>Aug</v>
      </c>
      <c r="D158">
        <f>YEAR(SalesData[[#This Row],[Date]])</f>
        <v>2024</v>
      </c>
      <c r="E158" t="s">
        <v>365</v>
      </c>
      <c r="F158" t="s">
        <v>367</v>
      </c>
      <c r="G158" t="s">
        <v>448</v>
      </c>
      <c r="H158" t="s">
        <v>482</v>
      </c>
      <c r="I158">
        <v>3380</v>
      </c>
      <c r="J158">
        <v>0.87</v>
      </c>
      <c r="K158">
        <v>2940.6</v>
      </c>
      <c r="L158">
        <v>0.63</v>
      </c>
      <c r="M158">
        <v>2129.4</v>
      </c>
      <c r="N158">
        <v>811.2</v>
      </c>
    </row>
    <row r="159" spans="1:14" x14ac:dyDescent="0.25">
      <c r="A159">
        <v>158</v>
      </c>
      <c r="B159" t="s">
        <v>132</v>
      </c>
      <c r="C159" t="str">
        <f t="shared" si="2"/>
        <v>Mar</v>
      </c>
      <c r="D159">
        <f>YEAR(SalesData[[#This Row],[Date]])</f>
        <v>2024</v>
      </c>
      <c r="E159" t="s">
        <v>366</v>
      </c>
      <c r="F159" t="s">
        <v>369</v>
      </c>
      <c r="G159" t="s">
        <v>450</v>
      </c>
      <c r="H159" t="s">
        <v>475</v>
      </c>
      <c r="I159">
        <v>3511</v>
      </c>
      <c r="J159">
        <v>0.88</v>
      </c>
      <c r="K159">
        <v>3089.68</v>
      </c>
      <c r="L159">
        <v>0.59</v>
      </c>
      <c r="M159">
        <v>2071.4899999999998</v>
      </c>
      <c r="N159">
        <v>1018.19</v>
      </c>
    </row>
    <row r="160" spans="1:14" x14ac:dyDescent="0.25">
      <c r="A160">
        <v>159</v>
      </c>
      <c r="B160" t="s">
        <v>143</v>
      </c>
      <c r="C160" t="str">
        <f t="shared" si="2"/>
        <v>Apr</v>
      </c>
      <c r="D160">
        <f>YEAR(SalesData[[#This Row],[Date]])</f>
        <v>2024</v>
      </c>
      <c r="E160" t="s">
        <v>363</v>
      </c>
      <c r="F160" t="s">
        <v>369</v>
      </c>
      <c r="G160" t="s">
        <v>444</v>
      </c>
      <c r="H160" t="s">
        <v>471</v>
      </c>
      <c r="I160">
        <v>737</v>
      </c>
      <c r="J160">
        <v>0.93</v>
      </c>
      <c r="K160">
        <v>685.41</v>
      </c>
      <c r="L160">
        <v>0.72</v>
      </c>
      <c r="M160">
        <v>530.64</v>
      </c>
      <c r="N160">
        <v>154.77000000000001</v>
      </c>
    </row>
    <row r="161" spans="1:14" x14ac:dyDescent="0.25">
      <c r="A161">
        <v>160</v>
      </c>
      <c r="B161" t="s">
        <v>144</v>
      </c>
      <c r="C161" t="str">
        <f t="shared" si="2"/>
        <v>Jun</v>
      </c>
      <c r="D161">
        <f>YEAR(SalesData[[#This Row],[Date]])</f>
        <v>2024</v>
      </c>
      <c r="E161" t="s">
        <v>365</v>
      </c>
      <c r="F161" t="s">
        <v>370</v>
      </c>
      <c r="G161" t="s">
        <v>398</v>
      </c>
      <c r="H161" t="s">
        <v>480</v>
      </c>
      <c r="I161">
        <v>1673</v>
      </c>
      <c r="J161">
        <v>1.2</v>
      </c>
      <c r="K161">
        <v>2007.6</v>
      </c>
      <c r="L161">
        <v>0.84</v>
      </c>
      <c r="M161">
        <v>1405.32</v>
      </c>
      <c r="N161">
        <v>602.28</v>
      </c>
    </row>
    <row r="162" spans="1:14" x14ac:dyDescent="0.25">
      <c r="A162">
        <v>161</v>
      </c>
      <c r="B162" t="s">
        <v>103</v>
      </c>
      <c r="C162" t="str">
        <f t="shared" si="2"/>
        <v>Mar</v>
      </c>
      <c r="D162">
        <f>YEAR(SalesData[[#This Row],[Date]])</f>
        <v>2024</v>
      </c>
      <c r="E162" t="s">
        <v>363</v>
      </c>
      <c r="F162" t="s">
        <v>367</v>
      </c>
      <c r="G162" t="s">
        <v>432</v>
      </c>
      <c r="H162" t="s">
        <v>490</v>
      </c>
      <c r="I162">
        <v>2262</v>
      </c>
      <c r="J162">
        <v>1.06</v>
      </c>
      <c r="K162">
        <v>2397.7199999999998</v>
      </c>
      <c r="L162">
        <v>0.76</v>
      </c>
      <c r="M162">
        <v>1719.12</v>
      </c>
      <c r="N162">
        <v>678.6</v>
      </c>
    </row>
    <row r="163" spans="1:14" x14ac:dyDescent="0.25">
      <c r="A163">
        <v>162</v>
      </c>
      <c r="B163" t="s">
        <v>42</v>
      </c>
      <c r="C163" t="str">
        <f t="shared" si="2"/>
        <v>Mar</v>
      </c>
      <c r="D163">
        <f>YEAR(SalesData[[#This Row],[Date]])</f>
        <v>2024</v>
      </c>
      <c r="E163" t="s">
        <v>365</v>
      </c>
      <c r="F163" t="s">
        <v>370</v>
      </c>
      <c r="G163" t="s">
        <v>451</v>
      </c>
      <c r="H163" t="s">
        <v>487</v>
      </c>
      <c r="I163">
        <v>1195</v>
      </c>
      <c r="J163">
        <v>1.42</v>
      </c>
      <c r="K163">
        <v>1696.9</v>
      </c>
      <c r="L163">
        <v>0.91</v>
      </c>
      <c r="M163">
        <v>1087.45</v>
      </c>
      <c r="N163">
        <v>609.45000000000005</v>
      </c>
    </row>
    <row r="164" spans="1:14" x14ac:dyDescent="0.25">
      <c r="A164">
        <v>163</v>
      </c>
      <c r="B164" t="s">
        <v>145</v>
      </c>
      <c r="C164" t="str">
        <f t="shared" si="2"/>
        <v>Nov</v>
      </c>
      <c r="D164">
        <f>YEAR(SalesData[[#This Row],[Date]])</f>
        <v>2024</v>
      </c>
      <c r="E164" t="s">
        <v>363</v>
      </c>
      <c r="F164" t="s">
        <v>367</v>
      </c>
      <c r="G164" t="s">
        <v>412</v>
      </c>
      <c r="H164" t="s">
        <v>473</v>
      </c>
      <c r="I164">
        <v>3973</v>
      </c>
      <c r="J164">
        <v>1.1399999999999999</v>
      </c>
      <c r="K164">
        <v>4529.22</v>
      </c>
      <c r="L164">
        <v>0.81</v>
      </c>
      <c r="M164">
        <v>3218.13</v>
      </c>
      <c r="N164">
        <v>1311.09</v>
      </c>
    </row>
    <row r="165" spans="1:14" x14ac:dyDescent="0.25">
      <c r="A165">
        <v>164</v>
      </c>
      <c r="B165" t="s">
        <v>146</v>
      </c>
      <c r="C165" t="str">
        <f t="shared" si="2"/>
        <v>May</v>
      </c>
      <c r="D165">
        <f>YEAR(SalesData[[#This Row],[Date]])</f>
        <v>2024</v>
      </c>
      <c r="E165" t="s">
        <v>363</v>
      </c>
      <c r="F165" t="s">
        <v>368</v>
      </c>
      <c r="G165" t="s">
        <v>452</v>
      </c>
      <c r="H165" t="s">
        <v>481</v>
      </c>
      <c r="I165">
        <v>1408</v>
      </c>
      <c r="J165">
        <v>1</v>
      </c>
      <c r="K165">
        <v>1408</v>
      </c>
      <c r="L165">
        <v>0.77</v>
      </c>
      <c r="M165">
        <v>1084.1600000000001</v>
      </c>
      <c r="N165">
        <v>323.83999999999997</v>
      </c>
    </row>
    <row r="166" spans="1:14" x14ac:dyDescent="0.25">
      <c r="A166">
        <v>165</v>
      </c>
      <c r="B166" t="s">
        <v>147</v>
      </c>
      <c r="C166" t="str">
        <f t="shared" si="2"/>
        <v>Sep</v>
      </c>
      <c r="D166">
        <f>YEAR(SalesData[[#This Row],[Date]])</f>
        <v>2024</v>
      </c>
      <c r="E166" t="s">
        <v>363</v>
      </c>
      <c r="F166" t="s">
        <v>370</v>
      </c>
      <c r="G166" t="s">
        <v>373</v>
      </c>
      <c r="H166" t="s">
        <v>484</v>
      </c>
      <c r="I166">
        <v>948</v>
      </c>
      <c r="J166">
        <v>0.81</v>
      </c>
      <c r="K166">
        <v>767.88</v>
      </c>
      <c r="L166">
        <v>0.55000000000000004</v>
      </c>
      <c r="M166">
        <v>521.4</v>
      </c>
      <c r="N166">
        <v>246.48</v>
      </c>
    </row>
    <row r="167" spans="1:14" x14ac:dyDescent="0.25">
      <c r="A167">
        <v>166</v>
      </c>
      <c r="B167" t="s">
        <v>148</v>
      </c>
      <c r="C167" t="str">
        <f t="shared" si="2"/>
        <v>Apr</v>
      </c>
      <c r="D167">
        <f>YEAR(SalesData[[#This Row],[Date]])</f>
        <v>2024</v>
      </c>
      <c r="E167" t="s">
        <v>365</v>
      </c>
      <c r="F167" t="s">
        <v>368</v>
      </c>
      <c r="G167" t="s">
        <v>386</v>
      </c>
      <c r="H167" t="s">
        <v>487</v>
      </c>
      <c r="I167">
        <v>1482</v>
      </c>
      <c r="J167">
        <v>0.81</v>
      </c>
      <c r="K167">
        <v>1200.42</v>
      </c>
      <c r="L167">
        <v>0.64</v>
      </c>
      <c r="M167">
        <v>948.48</v>
      </c>
      <c r="N167">
        <v>251.94</v>
      </c>
    </row>
    <row r="168" spans="1:14" x14ac:dyDescent="0.25">
      <c r="A168">
        <v>167</v>
      </c>
      <c r="B168" t="s">
        <v>149</v>
      </c>
      <c r="C168" t="str">
        <f t="shared" si="2"/>
        <v>Mar</v>
      </c>
      <c r="D168">
        <f>YEAR(SalesData[[#This Row],[Date]])</f>
        <v>2024</v>
      </c>
      <c r="E168" t="s">
        <v>364</v>
      </c>
      <c r="F168" t="s">
        <v>368</v>
      </c>
      <c r="G168" t="s">
        <v>379</v>
      </c>
      <c r="H168" t="s">
        <v>477</v>
      </c>
      <c r="I168">
        <v>4598</v>
      </c>
      <c r="J168">
        <v>1.19</v>
      </c>
      <c r="K168">
        <v>5471.62</v>
      </c>
      <c r="L168">
        <v>0.91</v>
      </c>
      <c r="M168">
        <v>4184.18</v>
      </c>
      <c r="N168">
        <v>1287.44</v>
      </c>
    </row>
    <row r="169" spans="1:14" x14ac:dyDescent="0.25">
      <c r="A169">
        <v>168</v>
      </c>
      <c r="B169" t="s">
        <v>35</v>
      </c>
      <c r="C169" t="str">
        <f t="shared" si="2"/>
        <v>Jun</v>
      </c>
      <c r="D169">
        <f>YEAR(SalesData[[#This Row],[Date]])</f>
        <v>2024</v>
      </c>
      <c r="E169" t="s">
        <v>364</v>
      </c>
      <c r="F169" t="s">
        <v>367</v>
      </c>
      <c r="G169" t="s">
        <v>371</v>
      </c>
      <c r="H169" t="s">
        <v>478</v>
      </c>
      <c r="I169">
        <v>4073</v>
      </c>
      <c r="J169">
        <v>0.81</v>
      </c>
      <c r="K169">
        <v>3299.13</v>
      </c>
      <c r="L169">
        <v>0.67</v>
      </c>
      <c r="M169">
        <v>2728.91</v>
      </c>
      <c r="N169">
        <v>570.22</v>
      </c>
    </row>
    <row r="170" spans="1:14" x14ac:dyDescent="0.25">
      <c r="A170">
        <v>169</v>
      </c>
      <c r="B170" t="s">
        <v>150</v>
      </c>
      <c r="C170" t="str">
        <f t="shared" si="2"/>
        <v>Jun</v>
      </c>
      <c r="D170">
        <f>YEAR(SalesData[[#This Row],[Date]])</f>
        <v>2024</v>
      </c>
      <c r="E170" t="s">
        <v>364</v>
      </c>
      <c r="F170" t="s">
        <v>369</v>
      </c>
      <c r="G170" t="s">
        <v>453</v>
      </c>
      <c r="H170" t="s">
        <v>481</v>
      </c>
      <c r="I170">
        <v>2871</v>
      </c>
      <c r="J170">
        <v>0.88</v>
      </c>
      <c r="K170">
        <v>2526.48</v>
      </c>
      <c r="L170">
        <v>0.53</v>
      </c>
      <c r="M170">
        <v>1521.63</v>
      </c>
      <c r="N170">
        <v>1004.85</v>
      </c>
    </row>
    <row r="171" spans="1:14" x14ac:dyDescent="0.25">
      <c r="A171">
        <v>170</v>
      </c>
      <c r="B171" t="s">
        <v>88</v>
      </c>
      <c r="C171" t="str">
        <f t="shared" si="2"/>
        <v>Jun</v>
      </c>
      <c r="D171">
        <f>YEAR(SalesData[[#This Row],[Date]])</f>
        <v>2024</v>
      </c>
      <c r="E171" t="s">
        <v>364</v>
      </c>
      <c r="F171" t="s">
        <v>368</v>
      </c>
      <c r="G171" t="s">
        <v>454</v>
      </c>
      <c r="H171" t="s">
        <v>475</v>
      </c>
      <c r="I171">
        <v>1221</v>
      </c>
      <c r="J171">
        <v>1.1100000000000001</v>
      </c>
      <c r="K171">
        <v>1355.31</v>
      </c>
      <c r="L171">
        <v>0.7</v>
      </c>
      <c r="M171">
        <v>854.7</v>
      </c>
      <c r="N171">
        <v>500.61</v>
      </c>
    </row>
    <row r="172" spans="1:14" x14ac:dyDescent="0.25">
      <c r="A172">
        <v>171</v>
      </c>
      <c r="B172" t="s">
        <v>60</v>
      </c>
      <c r="C172" t="str">
        <f t="shared" si="2"/>
        <v>Aug</v>
      </c>
      <c r="D172">
        <f>YEAR(SalesData[[#This Row],[Date]])</f>
        <v>2024</v>
      </c>
      <c r="E172" t="s">
        <v>363</v>
      </c>
      <c r="F172" t="s">
        <v>369</v>
      </c>
      <c r="G172" t="s">
        <v>455</v>
      </c>
      <c r="H172" t="s">
        <v>482</v>
      </c>
      <c r="I172">
        <v>3281</v>
      </c>
      <c r="J172">
        <v>0.96</v>
      </c>
      <c r="K172">
        <v>3149.76</v>
      </c>
      <c r="L172">
        <v>0.76</v>
      </c>
      <c r="M172">
        <v>2493.56</v>
      </c>
      <c r="N172">
        <v>656.2</v>
      </c>
    </row>
    <row r="173" spans="1:14" x14ac:dyDescent="0.25">
      <c r="A173">
        <v>172</v>
      </c>
      <c r="B173" t="s">
        <v>151</v>
      </c>
      <c r="C173" t="str">
        <f t="shared" si="2"/>
        <v>Feb</v>
      </c>
      <c r="D173">
        <f>YEAR(SalesData[[#This Row],[Date]])</f>
        <v>2024</v>
      </c>
      <c r="E173" t="s">
        <v>366</v>
      </c>
      <c r="F173" t="s">
        <v>367</v>
      </c>
      <c r="G173" t="s">
        <v>427</v>
      </c>
      <c r="H173" t="s">
        <v>475</v>
      </c>
      <c r="I173">
        <v>3376</v>
      </c>
      <c r="J173">
        <v>1.31</v>
      </c>
      <c r="K173">
        <v>4422.5600000000004</v>
      </c>
      <c r="L173">
        <v>1.05</v>
      </c>
      <c r="M173">
        <v>3544.8</v>
      </c>
      <c r="N173">
        <v>877.76</v>
      </c>
    </row>
    <row r="174" spans="1:14" x14ac:dyDescent="0.25">
      <c r="A174">
        <v>173</v>
      </c>
      <c r="B174" t="s">
        <v>140</v>
      </c>
      <c r="C174" t="str">
        <f t="shared" si="2"/>
        <v>Mar</v>
      </c>
      <c r="D174">
        <f>YEAR(SalesData[[#This Row],[Date]])</f>
        <v>2024</v>
      </c>
      <c r="E174" t="s">
        <v>363</v>
      </c>
      <c r="F174" t="s">
        <v>368</v>
      </c>
      <c r="G174" t="s">
        <v>446</v>
      </c>
      <c r="H174" t="s">
        <v>471</v>
      </c>
      <c r="I174">
        <v>2116</v>
      </c>
      <c r="J174">
        <v>0.92</v>
      </c>
      <c r="K174">
        <v>1946.72</v>
      </c>
      <c r="L174">
        <v>0.59</v>
      </c>
      <c r="M174">
        <v>1248.44</v>
      </c>
      <c r="N174">
        <v>698.28</v>
      </c>
    </row>
    <row r="175" spans="1:14" x14ac:dyDescent="0.25">
      <c r="A175">
        <v>174</v>
      </c>
      <c r="B175" t="s">
        <v>116</v>
      </c>
      <c r="C175" t="str">
        <f t="shared" si="2"/>
        <v>Dec</v>
      </c>
      <c r="D175">
        <f>YEAR(SalesData[[#This Row],[Date]])</f>
        <v>2024</v>
      </c>
      <c r="E175" t="s">
        <v>366</v>
      </c>
      <c r="F175" t="s">
        <v>367</v>
      </c>
      <c r="G175" t="s">
        <v>380</v>
      </c>
      <c r="H175" t="s">
        <v>483</v>
      </c>
      <c r="I175">
        <v>4300</v>
      </c>
      <c r="J175">
        <v>1.33</v>
      </c>
      <c r="K175">
        <v>5719</v>
      </c>
      <c r="L175">
        <v>1.05</v>
      </c>
      <c r="M175">
        <v>4515</v>
      </c>
      <c r="N175">
        <v>1204</v>
      </c>
    </row>
    <row r="176" spans="1:14" x14ac:dyDescent="0.25">
      <c r="A176">
        <v>175</v>
      </c>
      <c r="B176" t="s">
        <v>152</v>
      </c>
      <c r="C176" t="str">
        <f t="shared" si="2"/>
        <v>Aug</v>
      </c>
      <c r="D176">
        <f>YEAR(SalesData[[#This Row],[Date]])</f>
        <v>2024</v>
      </c>
      <c r="E176" t="s">
        <v>365</v>
      </c>
      <c r="F176" t="s">
        <v>370</v>
      </c>
      <c r="G176" t="s">
        <v>399</v>
      </c>
      <c r="H176" t="s">
        <v>473</v>
      </c>
      <c r="I176">
        <v>1059</v>
      </c>
      <c r="J176">
        <v>1.1299999999999999</v>
      </c>
      <c r="K176">
        <v>1196.67</v>
      </c>
      <c r="L176">
        <v>0.86</v>
      </c>
      <c r="M176">
        <v>910.74</v>
      </c>
      <c r="N176">
        <v>285.93</v>
      </c>
    </row>
    <row r="177" spans="1:14" x14ac:dyDescent="0.25">
      <c r="A177">
        <v>176</v>
      </c>
      <c r="B177" t="s">
        <v>124</v>
      </c>
      <c r="C177" t="str">
        <f t="shared" si="2"/>
        <v>May</v>
      </c>
      <c r="D177">
        <f>YEAR(SalesData[[#This Row],[Date]])</f>
        <v>2024</v>
      </c>
      <c r="E177" t="s">
        <v>365</v>
      </c>
      <c r="F177" t="s">
        <v>367</v>
      </c>
      <c r="G177" t="s">
        <v>405</v>
      </c>
      <c r="H177" t="s">
        <v>486</v>
      </c>
      <c r="I177">
        <v>3042</v>
      </c>
      <c r="J177">
        <v>1.1200000000000001</v>
      </c>
      <c r="K177">
        <v>3407.04</v>
      </c>
      <c r="L177">
        <v>0.68</v>
      </c>
      <c r="M177">
        <v>2068.56</v>
      </c>
      <c r="N177">
        <v>1338.48</v>
      </c>
    </row>
    <row r="178" spans="1:14" x14ac:dyDescent="0.25">
      <c r="A178">
        <v>177</v>
      </c>
      <c r="B178" t="s">
        <v>153</v>
      </c>
      <c r="C178" t="str">
        <f t="shared" si="2"/>
        <v>Jul</v>
      </c>
      <c r="D178">
        <f>YEAR(SalesData[[#This Row],[Date]])</f>
        <v>2024</v>
      </c>
      <c r="E178" t="s">
        <v>363</v>
      </c>
      <c r="F178" t="s">
        <v>370</v>
      </c>
      <c r="G178" t="s">
        <v>431</v>
      </c>
      <c r="H178" t="s">
        <v>486</v>
      </c>
      <c r="I178">
        <v>4653</v>
      </c>
      <c r="J178">
        <v>1.07</v>
      </c>
      <c r="K178">
        <v>4978.71</v>
      </c>
      <c r="L178">
        <v>0.8</v>
      </c>
      <c r="M178">
        <v>3722.4</v>
      </c>
      <c r="N178">
        <v>1256.31</v>
      </c>
    </row>
    <row r="179" spans="1:14" x14ac:dyDescent="0.25">
      <c r="A179">
        <v>178</v>
      </c>
      <c r="B179" t="s">
        <v>85</v>
      </c>
      <c r="C179" t="str">
        <f t="shared" si="2"/>
        <v>Jan</v>
      </c>
      <c r="D179">
        <f>YEAR(SalesData[[#This Row],[Date]])</f>
        <v>2024</v>
      </c>
      <c r="E179" t="s">
        <v>366</v>
      </c>
      <c r="F179" t="s">
        <v>369</v>
      </c>
      <c r="G179" t="s">
        <v>441</v>
      </c>
      <c r="H179" t="s">
        <v>489</v>
      </c>
      <c r="I179">
        <v>4396</v>
      </c>
      <c r="J179">
        <v>1.1499999999999999</v>
      </c>
      <c r="K179">
        <v>5055.3999999999996</v>
      </c>
      <c r="L179">
        <v>0.97</v>
      </c>
      <c r="M179">
        <v>4264.12</v>
      </c>
      <c r="N179">
        <v>791.28</v>
      </c>
    </row>
    <row r="180" spans="1:14" x14ac:dyDescent="0.25">
      <c r="A180">
        <v>179</v>
      </c>
      <c r="B180" t="s">
        <v>154</v>
      </c>
      <c r="C180" t="str">
        <f t="shared" si="2"/>
        <v>Aug</v>
      </c>
      <c r="D180">
        <f>YEAR(SalesData[[#This Row],[Date]])</f>
        <v>2024</v>
      </c>
      <c r="E180" t="s">
        <v>365</v>
      </c>
      <c r="F180" t="s">
        <v>367</v>
      </c>
      <c r="G180" t="s">
        <v>390</v>
      </c>
      <c r="H180" t="s">
        <v>486</v>
      </c>
      <c r="I180">
        <v>4633</v>
      </c>
      <c r="J180">
        <v>1.25</v>
      </c>
      <c r="K180">
        <v>5791.25</v>
      </c>
      <c r="L180">
        <v>0.76</v>
      </c>
      <c r="M180">
        <v>3521.08</v>
      </c>
      <c r="N180">
        <v>2270.17</v>
      </c>
    </row>
    <row r="181" spans="1:14" x14ac:dyDescent="0.25">
      <c r="A181">
        <v>180</v>
      </c>
      <c r="B181" t="s">
        <v>95</v>
      </c>
      <c r="C181" t="str">
        <f t="shared" si="2"/>
        <v>Dec</v>
      </c>
      <c r="D181">
        <f>YEAR(SalesData[[#This Row],[Date]])</f>
        <v>2024</v>
      </c>
      <c r="E181" t="s">
        <v>364</v>
      </c>
      <c r="F181" t="s">
        <v>369</v>
      </c>
      <c r="G181" t="s">
        <v>442</v>
      </c>
      <c r="H181" t="s">
        <v>490</v>
      </c>
      <c r="I181">
        <v>1800</v>
      </c>
      <c r="J181">
        <v>1.05</v>
      </c>
      <c r="K181">
        <v>1890</v>
      </c>
      <c r="L181">
        <v>0.87</v>
      </c>
      <c r="M181">
        <v>1566</v>
      </c>
      <c r="N181">
        <v>324</v>
      </c>
    </row>
    <row r="182" spans="1:14" x14ac:dyDescent="0.25">
      <c r="A182">
        <v>181</v>
      </c>
      <c r="B182" t="s">
        <v>155</v>
      </c>
      <c r="C182" t="str">
        <f t="shared" si="2"/>
        <v>Jul</v>
      </c>
      <c r="D182">
        <f>YEAR(SalesData[[#This Row],[Date]])</f>
        <v>2024</v>
      </c>
      <c r="E182" t="s">
        <v>365</v>
      </c>
      <c r="F182" t="s">
        <v>369</v>
      </c>
      <c r="G182" t="s">
        <v>414</v>
      </c>
      <c r="H182" t="s">
        <v>489</v>
      </c>
      <c r="I182">
        <v>928</v>
      </c>
      <c r="J182">
        <v>1.35</v>
      </c>
      <c r="K182">
        <v>1252.8</v>
      </c>
      <c r="L182">
        <v>1.03</v>
      </c>
      <c r="M182">
        <v>955.84</v>
      </c>
      <c r="N182">
        <v>296.95999999999998</v>
      </c>
    </row>
    <row r="183" spans="1:14" x14ac:dyDescent="0.25">
      <c r="A183">
        <v>182</v>
      </c>
      <c r="B183" t="s">
        <v>156</v>
      </c>
      <c r="C183" t="str">
        <f t="shared" si="2"/>
        <v>Feb</v>
      </c>
      <c r="D183">
        <f>YEAR(SalesData[[#This Row],[Date]])</f>
        <v>2024</v>
      </c>
      <c r="E183" t="s">
        <v>363</v>
      </c>
      <c r="F183" t="s">
        <v>370</v>
      </c>
      <c r="G183" t="s">
        <v>421</v>
      </c>
      <c r="H183" t="s">
        <v>484</v>
      </c>
      <c r="I183">
        <v>2827</v>
      </c>
      <c r="J183">
        <v>0.98</v>
      </c>
      <c r="K183">
        <v>2770.46</v>
      </c>
      <c r="L183">
        <v>0.8</v>
      </c>
      <c r="M183">
        <v>2261.6</v>
      </c>
      <c r="N183">
        <v>508.86</v>
      </c>
    </row>
    <row r="184" spans="1:14" x14ac:dyDescent="0.25">
      <c r="A184">
        <v>183</v>
      </c>
      <c r="B184" t="s">
        <v>157</v>
      </c>
      <c r="C184" t="str">
        <f t="shared" si="2"/>
        <v>Nov</v>
      </c>
      <c r="D184">
        <f>YEAR(SalesData[[#This Row],[Date]])</f>
        <v>2024</v>
      </c>
      <c r="E184" t="s">
        <v>365</v>
      </c>
      <c r="F184" t="s">
        <v>368</v>
      </c>
      <c r="G184" t="s">
        <v>376</v>
      </c>
      <c r="H184" t="s">
        <v>479</v>
      </c>
      <c r="I184">
        <v>1658</v>
      </c>
      <c r="J184">
        <v>1.44</v>
      </c>
      <c r="K184">
        <v>2387.52</v>
      </c>
      <c r="L184">
        <v>0.98</v>
      </c>
      <c r="M184">
        <v>1624.84</v>
      </c>
      <c r="N184">
        <v>762.68</v>
      </c>
    </row>
    <row r="185" spans="1:14" x14ac:dyDescent="0.25">
      <c r="A185">
        <v>184</v>
      </c>
      <c r="B185" t="s">
        <v>116</v>
      </c>
      <c r="C185" t="str">
        <f t="shared" si="2"/>
        <v>Dec</v>
      </c>
      <c r="D185">
        <f>YEAR(SalesData[[#This Row],[Date]])</f>
        <v>2024</v>
      </c>
      <c r="E185" t="s">
        <v>366</v>
      </c>
      <c r="F185" t="s">
        <v>369</v>
      </c>
      <c r="G185" t="s">
        <v>448</v>
      </c>
      <c r="H185" t="s">
        <v>486</v>
      </c>
      <c r="I185">
        <v>3036</v>
      </c>
      <c r="J185">
        <v>1.19</v>
      </c>
      <c r="K185">
        <v>3612.84</v>
      </c>
      <c r="L185">
        <v>0.91</v>
      </c>
      <c r="M185">
        <v>2762.76</v>
      </c>
      <c r="N185">
        <v>850.08</v>
      </c>
    </row>
    <row r="186" spans="1:14" x14ac:dyDescent="0.25">
      <c r="A186">
        <v>185</v>
      </c>
      <c r="B186" t="s">
        <v>158</v>
      </c>
      <c r="C186" t="str">
        <f t="shared" si="2"/>
        <v>Jun</v>
      </c>
      <c r="D186">
        <f>YEAR(SalesData[[#This Row],[Date]])</f>
        <v>2024</v>
      </c>
      <c r="E186" t="s">
        <v>363</v>
      </c>
      <c r="F186" t="s">
        <v>368</v>
      </c>
      <c r="G186" t="s">
        <v>431</v>
      </c>
      <c r="H186" t="s">
        <v>481</v>
      </c>
      <c r="I186">
        <v>4665</v>
      </c>
      <c r="J186">
        <v>1.05</v>
      </c>
      <c r="K186">
        <v>4898.25</v>
      </c>
      <c r="L186">
        <v>0.73</v>
      </c>
      <c r="M186">
        <v>3405.45</v>
      </c>
      <c r="N186">
        <v>1492.8</v>
      </c>
    </row>
    <row r="187" spans="1:14" x14ac:dyDescent="0.25">
      <c r="A187">
        <v>186</v>
      </c>
      <c r="B187" t="s">
        <v>121</v>
      </c>
      <c r="C187" t="str">
        <f t="shared" si="2"/>
        <v>Apr</v>
      </c>
      <c r="D187">
        <f>YEAR(SalesData[[#This Row],[Date]])</f>
        <v>2024</v>
      </c>
      <c r="E187" t="s">
        <v>365</v>
      </c>
      <c r="F187" t="s">
        <v>368</v>
      </c>
      <c r="G187" t="s">
        <v>380</v>
      </c>
      <c r="H187" t="s">
        <v>483</v>
      </c>
      <c r="I187">
        <v>2072</v>
      </c>
      <c r="J187">
        <v>0.96</v>
      </c>
      <c r="K187">
        <v>1989.12</v>
      </c>
      <c r="L187">
        <v>0.61</v>
      </c>
      <c r="M187">
        <v>1263.92</v>
      </c>
      <c r="N187">
        <v>725.2</v>
      </c>
    </row>
    <row r="188" spans="1:14" x14ac:dyDescent="0.25">
      <c r="A188">
        <v>187</v>
      </c>
      <c r="B188" t="s">
        <v>151</v>
      </c>
      <c r="C188" t="str">
        <f t="shared" si="2"/>
        <v>Feb</v>
      </c>
      <c r="D188">
        <f>YEAR(SalesData[[#This Row],[Date]])</f>
        <v>2024</v>
      </c>
      <c r="E188" t="s">
        <v>363</v>
      </c>
      <c r="F188" t="s">
        <v>370</v>
      </c>
      <c r="G188" t="s">
        <v>405</v>
      </c>
      <c r="H188" t="s">
        <v>476</v>
      </c>
      <c r="I188">
        <v>4813</v>
      </c>
      <c r="J188">
        <v>0.83</v>
      </c>
      <c r="K188">
        <v>3994.79</v>
      </c>
      <c r="L188">
        <v>0.56999999999999995</v>
      </c>
      <c r="M188">
        <v>2743.41</v>
      </c>
      <c r="N188">
        <v>1251.3800000000001</v>
      </c>
    </row>
    <row r="189" spans="1:14" x14ac:dyDescent="0.25">
      <c r="A189">
        <v>188</v>
      </c>
      <c r="B189" t="s">
        <v>145</v>
      </c>
      <c r="C189" t="str">
        <f t="shared" si="2"/>
        <v>Nov</v>
      </c>
      <c r="D189">
        <f>YEAR(SalesData[[#This Row],[Date]])</f>
        <v>2024</v>
      </c>
      <c r="E189" t="s">
        <v>364</v>
      </c>
      <c r="F189" t="s">
        <v>368</v>
      </c>
      <c r="G189" t="s">
        <v>399</v>
      </c>
      <c r="H189" t="s">
        <v>480</v>
      </c>
      <c r="I189">
        <v>1981</v>
      </c>
      <c r="J189">
        <v>1.38</v>
      </c>
      <c r="K189">
        <v>2733.78</v>
      </c>
      <c r="L189">
        <v>1.0900000000000001</v>
      </c>
      <c r="M189">
        <v>2159.29</v>
      </c>
      <c r="N189">
        <v>574.49</v>
      </c>
    </row>
    <row r="190" spans="1:14" x14ac:dyDescent="0.25">
      <c r="A190">
        <v>189</v>
      </c>
      <c r="B190" t="s">
        <v>159</v>
      </c>
      <c r="C190" t="str">
        <f t="shared" si="2"/>
        <v>Mar</v>
      </c>
      <c r="D190">
        <f>YEAR(SalesData[[#This Row],[Date]])</f>
        <v>2024</v>
      </c>
      <c r="E190" t="s">
        <v>363</v>
      </c>
      <c r="F190" t="s">
        <v>369</v>
      </c>
      <c r="G190" t="s">
        <v>438</v>
      </c>
      <c r="H190" t="s">
        <v>475</v>
      </c>
      <c r="I190">
        <v>2445</v>
      </c>
      <c r="J190">
        <v>1.48</v>
      </c>
      <c r="K190">
        <v>3618.6</v>
      </c>
      <c r="L190">
        <v>1.1100000000000001</v>
      </c>
      <c r="M190">
        <v>2713.95</v>
      </c>
      <c r="N190">
        <v>904.65</v>
      </c>
    </row>
    <row r="191" spans="1:14" x14ac:dyDescent="0.25">
      <c r="A191">
        <v>190</v>
      </c>
      <c r="B191" t="s">
        <v>152</v>
      </c>
      <c r="C191" t="str">
        <f t="shared" si="2"/>
        <v>Aug</v>
      </c>
      <c r="D191">
        <f>YEAR(SalesData[[#This Row],[Date]])</f>
        <v>2024</v>
      </c>
      <c r="E191" t="s">
        <v>366</v>
      </c>
      <c r="F191" t="s">
        <v>368</v>
      </c>
      <c r="G191" t="s">
        <v>428</v>
      </c>
      <c r="H191" t="s">
        <v>483</v>
      </c>
      <c r="I191">
        <v>2089</v>
      </c>
      <c r="J191">
        <v>1.06</v>
      </c>
      <c r="K191">
        <v>2214.34</v>
      </c>
      <c r="L191">
        <v>0.89</v>
      </c>
      <c r="M191">
        <v>1859.21</v>
      </c>
      <c r="N191">
        <v>355.13</v>
      </c>
    </row>
    <row r="192" spans="1:14" x14ac:dyDescent="0.25">
      <c r="A192">
        <v>191</v>
      </c>
      <c r="B192" t="s">
        <v>160</v>
      </c>
      <c r="C192" t="str">
        <f t="shared" si="2"/>
        <v>Aug</v>
      </c>
      <c r="D192">
        <f>YEAR(SalesData[[#This Row],[Date]])</f>
        <v>2024</v>
      </c>
      <c r="E192" t="s">
        <v>365</v>
      </c>
      <c r="F192" t="s">
        <v>369</v>
      </c>
      <c r="G192" t="s">
        <v>427</v>
      </c>
      <c r="H192" t="s">
        <v>484</v>
      </c>
      <c r="I192">
        <v>4619</v>
      </c>
      <c r="J192">
        <v>1.17</v>
      </c>
      <c r="K192">
        <v>5404.23</v>
      </c>
      <c r="L192">
        <v>0.98</v>
      </c>
      <c r="M192">
        <v>4526.62</v>
      </c>
      <c r="N192">
        <v>877.61</v>
      </c>
    </row>
    <row r="193" spans="1:14" x14ac:dyDescent="0.25">
      <c r="A193">
        <v>192</v>
      </c>
      <c r="B193" t="s">
        <v>161</v>
      </c>
      <c r="C193" t="str">
        <f t="shared" si="2"/>
        <v>Apr</v>
      </c>
      <c r="D193">
        <f>YEAR(SalesData[[#This Row],[Date]])</f>
        <v>2024</v>
      </c>
      <c r="E193" t="s">
        <v>365</v>
      </c>
      <c r="F193" t="s">
        <v>368</v>
      </c>
      <c r="G193" t="s">
        <v>456</v>
      </c>
      <c r="H193" t="s">
        <v>483</v>
      </c>
      <c r="I193">
        <v>3540</v>
      </c>
      <c r="J193">
        <v>1.19</v>
      </c>
      <c r="K193">
        <v>4212.6000000000004</v>
      </c>
      <c r="L193">
        <v>0.74</v>
      </c>
      <c r="M193">
        <v>2619.6</v>
      </c>
      <c r="N193">
        <v>1593</v>
      </c>
    </row>
    <row r="194" spans="1:14" x14ac:dyDescent="0.25">
      <c r="A194">
        <v>193</v>
      </c>
      <c r="B194" t="s">
        <v>162</v>
      </c>
      <c r="C194" t="str">
        <f t="shared" ref="C194:C257" si="3">TEXT(B194,"mmm")</f>
        <v>Sep</v>
      </c>
      <c r="D194">
        <f>YEAR(SalesData[[#This Row],[Date]])</f>
        <v>2024</v>
      </c>
      <c r="E194" t="s">
        <v>365</v>
      </c>
      <c r="F194" t="s">
        <v>367</v>
      </c>
      <c r="G194" t="s">
        <v>376</v>
      </c>
      <c r="H194" t="s">
        <v>480</v>
      </c>
      <c r="I194">
        <v>2734</v>
      </c>
      <c r="J194">
        <v>1.1100000000000001</v>
      </c>
      <c r="K194">
        <v>3034.74</v>
      </c>
      <c r="L194">
        <v>0.81</v>
      </c>
      <c r="M194">
        <v>2214.54</v>
      </c>
      <c r="N194">
        <v>820.2</v>
      </c>
    </row>
    <row r="195" spans="1:14" x14ac:dyDescent="0.25">
      <c r="A195">
        <v>194</v>
      </c>
      <c r="B195" t="s">
        <v>60</v>
      </c>
      <c r="C195" t="str">
        <f t="shared" si="3"/>
        <v>Aug</v>
      </c>
      <c r="D195">
        <f>YEAR(SalesData[[#This Row],[Date]])</f>
        <v>2024</v>
      </c>
      <c r="E195" t="s">
        <v>366</v>
      </c>
      <c r="F195" t="s">
        <v>367</v>
      </c>
      <c r="G195" t="s">
        <v>434</v>
      </c>
      <c r="H195" t="s">
        <v>475</v>
      </c>
      <c r="I195">
        <v>718</v>
      </c>
      <c r="J195">
        <v>1.0900000000000001</v>
      </c>
      <c r="K195">
        <v>782.62</v>
      </c>
      <c r="L195">
        <v>0.76</v>
      </c>
      <c r="M195">
        <v>545.67999999999995</v>
      </c>
      <c r="N195">
        <v>236.94</v>
      </c>
    </row>
    <row r="196" spans="1:14" x14ac:dyDescent="0.25">
      <c r="A196">
        <v>195</v>
      </c>
      <c r="B196" t="s">
        <v>163</v>
      </c>
      <c r="C196" t="str">
        <f t="shared" si="3"/>
        <v>Jul</v>
      </c>
      <c r="D196">
        <f>YEAR(SalesData[[#This Row],[Date]])</f>
        <v>2024</v>
      </c>
      <c r="E196" t="s">
        <v>364</v>
      </c>
      <c r="F196" t="s">
        <v>368</v>
      </c>
      <c r="G196" t="s">
        <v>376</v>
      </c>
      <c r="H196" t="s">
        <v>475</v>
      </c>
      <c r="I196">
        <v>2339</v>
      </c>
      <c r="J196">
        <v>0.82</v>
      </c>
      <c r="K196">
        <v>1917.98</v>
      </c>
      <c r="L196">
        <v>0.68</v>
      </c>
      <c r="M196">
        <v>1590.52</v>
      </c>
      <c r="N196">
        <v>327.45999999999998</v>
      </c>
    </row>
    <row r="197" spans="1:14" x14ac:dyDescent="0.25">
      <c r="A197">
        <v>196</v>
      </c>
      <c r="B197" t="s">
        <v>164</v>
      </c>
      <c r="C197" t="str">
        <f t="shared" si="3"/>
        <v>Dec</v>
      </c>
      <c r="D197">
        <f>YEAR(SalesData[[#This Row],[Date]])</f>
        <v>2024</v>
      </c>
      <c r="E197" t="s">
        <v>366</v>
      </c>
      <c r="F197" t="s">
        <v>370</v>
      </c>
      <c r="G197" t="s">
        <v>457</v>
      </c>
      <c r="H197" t="s">
        <v>478</v>
      </c>
      <c r="I197">
        <v>2850</v>
      </c>
      <c r="J197">
        <v>1.44</v>
      </c>
      <c r="K197">
        <v>4104</v>
      </c>
      <c r="L197">
        <v>1.03</v>
      </c>
      <c r="M197">
        <v>2935.5</v>
      </c>
      <c r="N197">
        <v>1168.5</v>
      </c>
    </row>
    <row r="198" spans="1:14" x14ac:dyDescent="0.25">
      <c r="A198">
        <v>197</v>
      </c>
      <c r="B198" t="s">
        <v>165</v>
      </c>
      <c r="C198" t="str">
        <f t="shared" si="3"/>
        <v>Mar</v>
      </c>
      <c r="D198">
        <f>YEAR(SalesData[[#This Row],[Date]])</f>
        <v>2024</v>
      </c>
      <c r="E198" t="s">
        <v>364</v>
      </c>
      <c r="F198" t="s">
        <v>369</v>
      </c>
      <c r="G198" t="s">
        <v>422</v>
      </c>
      <c r="H198" t="s">
        <v>472</v>
      </c>
      <c r="I198">
        <v>1149</v>
      </c>
      <c r="J198">
        <v>0.81</v>
      </c>
      <c r="K198">
        <v>930.69</v>
      </c>
      <c r="L198">
        <v>0.53</v>
      </c>
      <c r="M198">
        <v>608.97</v>
      </c>
      <c r="N198">
        <v>321.72000000000003</v>
      </c>
    </row>
    <row r="199" spans="1:14" x14ac:dyDescent="0.25">
      <c r="A199">
        <v>198</v>
      </c>
      <c r="B199" t="s">
        <v>166</v>
      </c>
      <c r="C199" t="str">
        <f t="shared" si="3"/>
        <v>Mar</v>
      </c>
      <c r="D199">
        <f>YEAR(SalesData[[#This Row],[Date]])</f>
        <v>2024</v>
      </c>
      <c r="E199" t="s">
        <v>363</v>
      </c>
      <c r="F199" t="s">
        <v>369</v>
      </c>
      <c r="G199" t="s">
        <v>427</v>
      </c>
      <c r="H199" t="s">
        <v>482</v>
      </c>
      <c r="I199">
        <v>2446</v>
      </c>
      <c r="J199">
        <v>1.01</v>
      </c>
      <c r="K199">
        <v>2470.46</v>
      </c>
      <c r="L199">
        <v>0.62</v>
      </c>
      <c r="M199">
        <v>1516.52</v>
      </c>
      <c r="N199">
        <v>953.94</v>
      </c>
    </row>
    <row r="200" spans="1:14" x14ac:dyDescent="0.25">
      <c r="A200">
        <v>199</v>
      </c>
      <c r="B200" t="s">
        <v>167</v>
      </c>
      <c r="C200" t="str">
        <f t="shared" si="3"/>
        <v>Aug</v>
      </c>
      <c r="D200">
        <f>YEAR(SalesData[[#This Row],[Date]])</f>
        <v>2024</v>
      </c>
      <c r="E200" t="s">
        <v>363</v>
      </c>
      <c r="F200" t="s">
        <v>369</v>
      </c>
      <c r="G200" t="s">
        <v>409</v>
      </c>
      <c r="H200" t="s">
        <v>483</v>
      </c>
      <c r="I200">
        <v>4891</v>
      </c>
      <c r="J200">
        <v>0.81</v>
      </c>
      <c r="K200">
        <v>3961.71</v>
      </c>
      <c r="L200">
        <v>0.59</v>
      </c>
      <c r="M200">
        <v>2885.69</v>
      </c>
      <c r="N200">
        <v>1076.02</v>
      </c>
    </row>
    <row r="201" spans="1:14" x14ac:dyDescent="0.25">
      <c r="A201">
        <v>200</v>
      </c>
      <c r="B201" t="s">
        <v>168</v>
      </c>
      <c r="C201" t="str">
        <f t="shared" si="3"/>
        <v>May</v>
      </c>
      <c r="D201">
        <f>YEAR(SalesData[[#This Row],[Date]])</f>
        <v>2024</v>
      </c>
      <c r="E201" t="s">
        <v>365</v>
      </c>
      <c r="F201" t="s">
        <v>368</v>
      </c>
      <c r="G201" t="s">
        <v>449</v>
      </c>
      <c r="H201" t="s">
        <v>472</v>
      </c>
      <c r="I201">
        <v>3390</v>
      </c>
      <c r="J201">
        <v>0.97</v>
      </c>
      <c r="K201">
        <v>3288.3</v>
      </c>
      <c r="L201">
        <v>0.68</v>
      </c>
      <c r="M201">
        <v>2305.1999999999998</v>
      </c>
      <c r="N201">
        <v>983.1</v>
      </c>
    </row>
    <row r="202" spans="1:14" x14ac:dyDescent="0.25">
      <c r="A202">
        <v>201</v>
      </c>
      <c r="B202" t="s">
        <v>169</v>
      </c>
      <c r="C202" t="str">
        <f t="shared" si="3"/>
        <v>Dec</v>
      </c>
      <c r="D202">
        <f>YEAR(SalesData[[#This Row],[Date]])</f>
        <v>2024</v>
      </c>
      <c r="E202" t="s">
        <v>365</v>
      </c>
      <c r="F202" t="s">
        <v>367</v>
      </c>
      <c r="G202" t="s">
        <v>458</v>
      </c>
      <c r="H202" t="s">
        <v>490</v>
      </c>
      <c r="I202">
        <v>4957</v>
      </c>
      <c r="J202">
        <v>1.1599999999999999</v>
      </c>
      <c r="K202">
        <v>5750.12</v>
      </c>
      <c r="L202">
        <v>0.98</v>
      </c>
      <c r="M202">
        <v>4857.8599999999997</v>
      </c>
      <c r="N202">
        <v>892.26</v>
      </c>
    </row>
    <row r="203" spans="1:14" x14ac:dyDescent="0.25">
      <c r="A203">
        <v>202</v>
      </c>
      <c r="B203" t="s">
        <v>48</v>
      </c>
      <c r="C203" t="str">
        <f t="shared" si="3"/>
        <v>Oct</v>
      </c>
      <c r="D203">
        <f>YEAR(SalesData[[#This Row],[Date]])</f>
        <v>2024</v>
      </c>
      <c r="E203" t="s">
        <v>364</v>
      </c>
      <c r="F203" t="s">
        <v>367</v>
      </c>
      <c r="G203" t="s">
        <v>393</v>
      </c>
      <c r="H203" t="s">
        <v>478</v>
      </c>
      <c r="I203">
        <v>3669</v>
      </c>
      <c r="J203">
        <v>1.49</v>
      </c>
      <c r="K203">
        <v>5466.81</v>
      </c>
      <c r="L203">
        <v>0.99</v>
      </c>
      <c r="M203">
        <v>3632.31</v>
      </c>
      <c r="N203">
        <v>1834.5</v>
      </c>
    </row>
    <row r="204" spans="1:14" x14ac:dyDescent="0.25">
      <c r="A204">
        <v>203</v>
      </c>
      <c r="B204" t="s">
        <v>170</v>
      </c>
      <c r="C204" t="str">
        <f t="shared" si="3"/>
        <v>Jan</v>
      </c>
      <c r="D204">
        <f>YEAR(SalesData[[#This Row],[Date]])</f>
        <v>2024</v>
      </c>
      <c r="E204" t="s">
        <v>363</v>
      </c>
      <c r="F204" t="s">
        <v>370</v>
      </c>
      <c r="G204" t="s">
        <v>452</v>
      </c>
      <c r="H204" t="s">
        <v>477</v>
      </c>
      <c r="I204">
        <v>1349</v>
      </c>
      <c r="J204">
        <v>1.34</v>
      </c>
      <c r="K204">
        <v>1807.66</v>
      </c>
      <c r="L204">
        <v>1.05</v>
      </c>
      <c r="M204">
        <v>1416.45</v>
      </c>
      <c r="N204">
        <v>391.21</v>
      </c>
    </row>
    <row r="205" spans="1:14" x14ac:dyDescent="0.25">
      <c r="A205">
        <v>204</v>
      </c>
      <c r="B205" t="s">
        <v>55</v>
      </c>
      <c r="C205" t="str">
        <f t="shared" si="3"/>
        <v>Jun</v>
      </c>
      <c r="D205">
        <f>YEAR(SalesData[[#This Row],[Date]])</f>
        <v>2024</v>
      </c>
      <c r="E205" t="s">
        <v>363</v>
      </c>
      <c r="F205" t="s">
        <v>368</v>
      </c>
      <c r="G205" t="s">
        <v>375</v>
      </c>
      <c r="H205" t="s">
        <v>476</v>
      </c>
      <c r="I205">
        <v>3273</v>
      </c>
      <c r="J205">
        <v>1.37</v>
      </c>
      <c r="K205">
        <v>4484.01</v>
      </c>
      <c r="L205">
        <v>0.88</v>
      </c>
      <c r="M205">
        <v>2880.24</v>
      </c>
      <c r="N205">
        <v>1603.77</v>
      </c>
    </row>
    <row r="206" spans="1:14" x14ac:dyDescent="0.25">
      <c r="A206">
        <v>205</v>
      </c>
      <c r="B206" t="s">
        <v>171</v>
      </c>
      <c r="C206" t="str">
        <f t="shared" si="3"/>
        <v>Dec</v>
      </c>
      <c r="D206">
        <f>YEAR(SalesData[[#This Row],[Date]])</f>
        <v>2024</v>
      </c>
      <c r="E206" t="s">
        <v>364</v>
      </c>
      <c r="F206" t="s">
        <v>369</v>
      </c>
      <c r="G206" t="s">
        <v>384</v>
      </c>
      <c r="H206" t="s">
        <v>480</v>
      </c>
      <c r="I206">
        <v>1604</v>
      </c>
      <c r="J206">
        <v>0.84</v>
      </c>
      <c r="K206">
        <v>1347.36</v>
      </c>
      <c r="L206">
        <v>0.67</v>
      </c>
      <c r="M206">
        <v>1074.68</v>
      </c>
      <c r="N206">
        <v>272.68</v>
      </c>
    </row>
    <row r="207" spans="1:14" x14ac:dyDescent="0.25">
      <c r="A207">
        <v>206</v>
      </c>
      <c r="B207" t="s">
        <v>172</v>
      </c>
      <c r="C207" t="str">
        <f t="shared" si="3"/>
        <v>Aug</v>
      </c>
      <c r="D207">
        <f>YEAR(SalesData[[#This Row],[Date]])</f>
        <v>2024</v>
      </c>
      <c r="E207" t="s">
        <v>365</v>
      </c>
      <c r="F207" t="s">
        <v>367</v>
      </c>
      <c r="G207" t="s">
        <v>418</v>
      </c>
      <c r="H207" t="s">
        <v>478</v>
      </c>
      <c r="I207">
        <v>2134</v>
      </c>
      <c r="J207">
        <v>1.42</v>
      </c>
      <c r="K207">
        <v>3030.28</v>
      </c>
      <c r="L207">
        <v>0.96</v>
      </c>
      <c r="M207">
        <v>2048.64</v>
      </c>
      <c r="N207">
        <v>981.64</v>
      </c>
    </row>
    <row r="208" spans="1:14" x14ac:dyDescent="0.25">
      <c r="A208">
        <v>207</v>
      </c>
      <c r="B208" t="s">
        <v>144</v>
      </c>
      <c r="C208" t="str">
        <f t="shared" si="3"/>
        <v>Jun</v>
      </c>
      <c r="D208">
        <f>YEAR(SalesData[[#This Row],[Date]])</f>
        <v>2024</v>
      </c>
      <c r="E208" t="s">
        <v>364</v>
      </c>
      <c r="F208" t="s">
        <v>369</v>
      </c>
      <c r="G208" t="s">
        <v>408</v>
      </c>
      <c r="H208" t="s">
        <v>478</v>
      </c>
      <c r="I208">
        <v>2065</v>
      </c>
      <c r="J208">
        <v>1</v>
      </c>
      <c r="K208">
        <v>2065</v>
      </c>
      <c r="L208">
        <v>0.82</v>
      </c>
      <c r="M208">
        <v>1693.3</v>
      </c>
      <c r="N208">
        <v>371.7</v>
      </c>
    </row>
    <row r="209" spans="1:14" x14ac:dyDescent="0.25">
      <c r="A209">
        <v>208</v>
      </c>
      <c r="B209" t="s">
        <v>24</v>
      </c>
      <c r="C209" t="str">
        <f t="shared" si="3"/>
        <v>Jan</v>
      </c>
      <c r="D209">
        <f>YEAR(SalesData[[#This Row],[Date]])</f>
        <v>2024</v>
      </c>
      <c r="E209" t="s">
        <v>365</v>
      </c>
      <c r="F209" t="s">
        <v>370</v>
      </c>
      <c r="G209" t="s">
        <v>459</v>
      </c>
      <c r="H209" t="s">
        <v>475</v>
      </c>
      <c r="I209">
        <v>4079</v>
      </c>
      <c r="J209">
        <v>1.42</v>
      </c>
      <c r="K209">
        <v>5792.18</v>
      </c>
      <c r="L209">
        <v>1.1200000000000001</v>
      </c>
      <c r="M209">
        <v>4568.4799999999996</v>
      </c>
      <c r="N209">
        <v>1223.7</v>
      </c>
    </row>
    <row r="210" spans="1:14" x14ac:dyDescent="0.25">
      <c r="A210">
        <v>209</v>
      </c>
      <c r="B210" t="s">
        <v>173</v>
      </c>
      <c r="C210" t="str">
        <f t="shared" si="3"/>
        <v>Jul</v>
      </c>
      <c r="D210">
        <f>YEAR(SalesData[[#This Row],[Date]])</f>
        <v>2024</v>
      </c>
      <c r="E210" t="s">
        <v>366</v>
      </c>
      <c r="F210" t="s">
        <v>370</v>
      </c>
      <c r="G210" t="s">
        <v>460</v>
      </c>
      <c r="H210" t="s">
        <v>483</v>
      </c>
      <c r="I210">
        <v>3509</v>
      </c>
      <c r="J210">
        <v>1.45</v>
      </c>
      <c r="K210">
        <v>5088.05</v>
      </c>
      <c r="L210">
        <v>1.06</v>
      </c>
      <c r="M210">
        <v>3719.54</v>
      </c>
      <c r="N210">
        <v>1368.51</v>
      </c>
    </row>
    <row r="211" spans="1:14" x14ac:dyDescent="0.25">
      <c r="A211">
        <v>210</v>
      </c>
      <c r="B211" t="s">
        <v>174</v>
      </c>
      <c r="C211" t="str">
        <f t="shared" si="3"/>
        <v>Feb</v>
      </c>
      <c r="D211">
        <f>YEAR(SalesData[[#This Row],[Date]])</f>
        <v>2024</v>
      </c>
      <c r="E211" t="s">
        <v>363</v>
      </c>
      <c r="F211" t="s">
        <v>369</v>
      </c>
      <c r="G211" t="s">
        <v>416</v>
      </c>
      <c r="H211" t="s">
        <v>489</v>
      </c>
      <c r="I211">
        <v>1978</v>
      </c>
      <c r="J211">
        <v>1.18</v>
      </c>
      <c r="K211">
        <v>2334.04</v>
      </c>
      <c r="L211">
        <v>0.8</v>
      </c>
      <c r="M211">
        <v>1582.4</v>
      </c>
      <c r="N211">
        <v>751.64</v>
      </c>
    </row>
    <row r="212" spans="1:14" x14ac:dyDescent="0.25">
      <c r="A212">
        <v>211</v>
      </c>
      <c r="B212" t="s">
        <v>175</v>
      </c>
      <c r="C212" t="str">
        <f t="shared" si="3"/>
        <v>Feb</v>
      </c>
      <c r="D212">
        <f>YEAR(SalesData[[#This Row],[Date]])</f>
        <v>2024</v>
      </c>
      <c r="E212" t="s">
        <v>365</v>
      </c>
      <c r="F212" t="s">
        <v>370</v>
      </c>
      <c r="G212" t="s">
        <v>428</v>
      </c>
      <c r="H212" t="s">
        <v>473</v>
      </c>
      <c r="I212">
        <v>3990</v>
      </c>
      <c r="J212">
        <v>0.92</v>
      </c>
      <c r="K212">
        <v>3670.8</v>
      </c>
      <c r="L212">
        <v>0.65</v>
      </c>
      <c r="M212">
        <v>2593.5</v>
      </c>
      <c r="N212">
        <v>1077.3</v>
      </c>
    </row>
    <row r="213" spans="1:14" x14ac:dyDescent="0.25">
      <c r="A213">
        <v>212</v>
      </c>
      <c r="B213" t="s">
        <v>176</v>
      </c>
      <c r="C213" t="str">
        <f t="shared" si="3"/>
        <v>Aug</v>
      </c>
      <c r="D213">
        <f>YEAR(SalesData[[#This Row],[Date]])</f>
        <v>2024</v>
      </c>
      <c r="E213" t="s">
        <v>365</v>
      </c>
      <c r="F213" t="s">
        <v>367</v>
      </c>
      <c r="G213" t="s">
        <v>422</v>
      </c>
      <c r="H213" t="s">
        <v>481</v>
      </c>
      <c r="I213">
        <v>2749</v>
      </c>
      <c r="J213">
        <v>1.25</v>
      </c>
      <c r="K213">
        <v>3436.25</v>
      </c>
      <c r="L213">
        <v>1</v>
      </c>
      <c r="M213">
        <v>2749</v>
      </c>
      <c r="N213">
        <v>687.25</v>
      </c>
    </row>
    <row r="214" spans="1:14" x14ac:dyDescent="0.25">
      <c r="A214">
        <v>213</v>
      </c>
      <c r="B214" t="s">
        <v>177</v>
      </c>
      <c r="C214" t="str">
        <f t="shared" si="3"/>
        <v>Jan</v>
      </c>
      <c r="D214">
        <f>YEAR(SalesData[[#This Row],[Date]])</f>
        <v>2024</v>
      </c>
      <c r="E214" t="s">
        <v>364</v>
      </c>
      <c r="F214" t="s">
        <v>367</v>
      </c>
      <c r="G214" t="s">
        <v>383</v>
      </c>
      <c r="H214" t="s">
        <v>490</v>
      </c>
      <c r="I214">
        <v>1810</v>
      </c>
      <c r="J214">
        <v>1.47</v>
      </c>
      <c r="K214">
        <v>2660.7</v>
      </c>
      <c r="L214">
        <v>0.93</v>
      </c>
      <c r="M214">
        <v>1683.3</v>
      </c>
      <c r="N214">
        <v>977.4</v>
      </c>
    </row>
    <row r="215" spans="1:14" x14ac:dyDescent="0.25">
      <c r="A215">
        <v>214</v>
      </c>
      <c r="B215" t="s">
        <v>178</v>
      </c>
      <c r="C215" t="str">
        <f t="shared" si="3"/>
        <v>Nov</v>
      </c>
      <c r="D215">
        <f>YEAR(SalesData[[#This Row],[Date]])</f>
        <v>2024</v>
      </c>
      <c r="E215" t="s">
        <v>363</v>
      </c>
      <c r="F215" t="s">
        <v>369</v>
      </c>
      <c r="G215" t="s">
        <v>410</v>
      </c>
      <c r="H215" t="s">
        <v>486</v>
      </c>
      <c r="I215">
        <v>2433</v>
      </c>
      <c r="J215">
        <v>1.34</v>
      </c>
      <c r="K215">
        <v>3260.22</v>
      </c>
      <c r="L215">
        <v>0.93</v>
      </c>
      <c r="M215">
        <v>2262.69</v>
      </c>
      <c r="N215">
        <v>997.53</v>
      </c>
    </row>
    <row r="216" spans="1:14" x14ac:dyDescent="0.25">
      <c r="A216">
        <v>215</v>
      </c>
      <c r="B216" t="s">
        <v>179</v>
      </c>
      <c r="C216" t="str">
        <f t="shared" si="3"/>
        <v>Jul</v>
      </c>
      <c r="D216">
        <f>YEAR(SalesData[[#This Row],[Date]])</f>
        <v>2024</v>
      </c>
      <c r="E216" t="s">
        <v>366</v>
      </c>
      <c r="F216" t="s">
        <v>367</v>
      </c>
      <c r="G216" t="s">
        <v>414</v>
      </c>
      <c r="H216" t="s">
        <v>473</v>
      </c>
      <c r="I216">
        <v>3538</v>
      </c>
      <c r="J216">
        <v>1.06</v>
      </c>
      <c r="K216">
        <v>3750.28</v>
      </c>
      <c r="L216">
        <v>0.84</v>
      </c>
      <c r="M216">
        <v>2971.92</v>
      </c>
      <c r="N216">
        <v>778.36</v>
      </c>
    </row>
    <row r="217" spans="1:14" x14ac:dyDescent="0.25">
      <c r="A217">
        <v>216</v>
      </c>
      <c r="B217" t="s">
        <v>180</v>
      </c>
      <c r="C217" t="str">
        <f t="shared" si="3"/>
        <v>Oct</v>
      </c>
      <c r="D217">
        <f>YEAR(SalesData[[#This Row],[Date]])</f>
        <v>2024</v>
      </c>
      <c r="E217" t="s">
        <v>365</v>
      </c>
      <c r="F217" t="s">
        <v>368</v>
      </c>
      <c r="G217" t="s">
        <v>455</v>
      </c>
      <c r="H217" t="s">
        <v>487</v>
      </c>
      <c r="I217">
        <v>2783</v>
      </c>
      <c r="J217">
        <v>0.97</v>
      </c>
      <c r="K217">
        <v>2699.51</v>
      </c>
      <c r="L217">
        <v>0.61</v>
      </c>
      <c r="M217">
        <v>1697.63</v>
      </c>
      <c r="N217">
        <v>1001.88</v>
      </c>
    </row>
    <row r="218" spans="1:14" x14ac:dyDescent="0.25">
      <c r="A218">
        <v>217</v>
      </c>
      <c r="B218" t="s">
        <v>181</v>
      </c>
      <c r="C218" t="str">
        <f t="shared" si="3"/>
        <v>Apr</v>
      </c>
      <c r="D218">
        <f>YEAR(SalesData[[#This Row],[Date]])</f>
        <v>2024</v>
      </c>
      <c r="E218" t="s">
        <v>364</v>
      </c>
      <c r="F218" t="s">
        <v>369</v>
      </c>
      <c r="G218" t="s">
        <v>421</v>
      </c>
      <c r="H218" t="s">
        <v>488</v>
      </c>
      <c r="I218">
        <v>2644</v>
      </c>
      <c r="J218">
        <v>1.34</v>
      </c>
      <c r="K218">
        <v>3542.96</v>
      </c>
      <c r="L218">
        <v>1.04</v>
      </c>
      <c r="M218">
        <v>2749.76</v>
      </c>
      <c r="N218">
        <v>793.2</v>
      </c>
    </row>
    <row r="219" spans="1:14" x14ac:dyDescent="0.25">
      <c r="A219">
        <v>218</v>
      </c>
      <c r="B219" t="s">
        <v>182</v>
      </c>
      <c r="C219" t="str">
        <f t="shared" si="3"/>
        <v>Apr</v>
      </c>
      <c r="D219">
        <f>YEAR(SalesData[[#This Row],[Date]])</f>
        <v>2024</v>
      </c>
      <c r="E219" t="s">
        <v>364</v>
      </c>
      <c r="F219" t="s">
        <v>370</v>
      </c>
      <c r="G219" t="s">
        <v>418</v>
      </c>
      <c r="H219" t="s">
        <v>488</v>
      </c>
      <c r="I219">
        <v>1611</v>
      </c>
      <c r="J219">
        <v>1.4</v>
      </c>
      <c r="K219">
        <v>2255.4</v>
      </c>
      <c r="L219">
        <v>1</v>
      </c>
      <c r="M219">
        <v>1611</v>
      </c>
      <c r="N219">
        <v>644.4</v>
      </c>
    </row>
    <row r="220" spans="1:14" x14ac:dyDescent="0.25">
      <c r="A220">
        <v>219</v>
      </c>
      <c r="B220" t="s">
        <v>164</v>
      </c>
      <c r="C220" t="str">
        <f t="shared" si="3"/>
        <v>Dec</v>
      </c>
      <c r="D220">
        <f>YEAR(SalesData[[#This Row],[Date]])</f>
        <v>2024</v>
      </c>
      <c r="E220" t="s">
        <v>363</v>
      </c>
      <c r="F220" t="s">
        <v>369</v>
      </c>
      <c r="G220" t="s">
        <v>411</v>
      </c>
      <c r="H220" t="s">
        <v>487</v>
      </c>
      <c r="I220">
        <v>3346</v>
      </c>
      <c r="J220">
        <v>1.3</v>
      </c>
      <c r="K220">
        <v>4349.8</v>
      </c>
      <c r="L220">
        <v>0.96</v>
      </c>
      <c r="M220">
        <v>3212.16</v>
      </c>
      <c r="N220">
        <v>1137.6400000000001</v>
      </c>
    </row>
    <row r="221" spans="1:14" x14ac:dyDescent="0.25">
      <c r="A221">
        <v>220</v>
      </c>
      <c r="B221" t="s">
        <v>183</v>
      </c>
      <c r="C221" t="str">
        <f t="shared" si="3"/>
        <v>May</v>
      </c>
      <c r="D221">
        <f>YEAR(SalesData[[#This Row],[Date]])</f>
        <v>2024</v>
      </c>
      <c r="E221" t="s">
        <v>366</v>
      </c>
      <c r="F221" t="s">
        <v>370</v>
      </c>
      <c r="G221" t="s">
        <v>390</v>
      </c>
      <c r="H221" t="s">
        <v>480</v>
      </c>
      <c r="I221">
        <v>3461</v>
      </c>
      <c r="J221">
        <v>1.1599999999999999</v>
      </c>
      <c r="K221">
        <v>4014.76</v>
      </c>
      <c r="L221">
        <v>0.73</v>
      </c>
      <c r="M221">
        <v>2526.5300000000002</v>
      </c>
      <c r="N221">
        <v>1488.23</v>
      </c>
    </row>
    <row r="222" spans="1:14" x14ac:dyDescent="0.25">
      <c r="A222">
        <v>221</v>
      </c>
      <c r="B222" t="s">
        <v>161</v>
      </c>
      <c r="C222" t="str">
        <f t="shared" si="3"/>
        <v>Apr</v>
      </c>
      <c r="D222">
        <f>YEAR(SalesData[[#This Row],[Date]])</f>
        <v>2024</v>
      </c>
      <c r="E222" t="s">
        <v>366</v>
      </c>
      <c r="F222" t="s">
        <v>368</v>
      </c>
      <c r="G222" t="s">
        <v>460</v>
      </c>
      <c r="H222" t="s">
        <v>472</v>
      </c>
      <c r="I222">
        <v>3456</v>
      </c>
      <c r="J222">
        <v>1.19</v>
      </c>
      <c r="K222">
        <v>4112.6400000000003</v>
      </c>
      <c r="L222">
        <v>0.82</v>
      </c>
      <c r="M222">
        <v>2833.92</v>
      </c>
      <c r="N222">
        <v>1278.72</v>
      </c>
    </row>
    <row r="223" spans="1:14" x14ac:dyDescent="0.25">
      <c r="A223">
        <v>222</v>
      </c>
      <c r="B223" t="s">
        <v>184</v>
      </c>
      <c r="C223" t="str">
        <f t="shared" si="3"/>
        <v>Oct</v>
      </c>
      <c r="D223">
        <f>YEAR(SalesData[[#This Row],[Date]])</f>
        <v>2024</v>
      </c>
      <c r="E223" t="s">
        <v>363</v>
      </c>
      <c r="F223" t="s">
        <v>368</v>
      </c>
      <c r="G223" t="s">
        <v>458</v>
      </c>
      <c r="H223" t="s">
        <v>482</v>
      </c>
      <c r="I223">
        <v>3761</v>
      </c>
      <c r="J223">
        <v>1.5</v>
      </c>
      <c r="K223">
        <v>5641.5</v>
      </c>
      <c r="L223">
        <v>1.17</v>
      </c>
      <c r="M223">
        <v>4400.37</v>
      </c>
      <c r="N223">
        <v>1241.1300000000001</v>
      </c>
    </row>
    <row r="224" spans="1:14" x14ac:dyDescent="0.25">
      <c r="A224">
        <v>223</v>
      </c>
      <c r="B224" t="s">
        <v>185</v>
      </c>
      <c r="C224" t="str">
        <f t="shared" si="3"/>
        <v>Sep</v>
      </c>
      <c r="D224">
        <f>YEAR(SalesData[[#This Row],[Date]])</f>
        <v>2024</v>
      </c>
      <c r="E224" t="s">
        <v>364</v>
      </c>
      <c r="F224" t="s">
        <v>369</v>
      </c>
      <c r="G224" t="s">
        <v>415</v>
      </c>
      <c r="H224" t="s">
        <v>486</v>
      </c>
      <c r="I224">
        <v>1526</v>
      </c>
      <c r="J224">
        <v>1.48</v>
      </c>
      <c r="K224">
        <v>2258.48</v>
      </c>
      <c r="L224">
        <v>1.1299999999999999</v>
      </c>
      <c r="M224">
        <v>1724.38</v>
      </c>
      <c r="N224">
        <v>534.1</v>
      </c>
    </row>
    <row r="225" spans="1:14" x14ac:dyDescent="0.25">
      <c r="A225">
        <v>224</v>
      </c>
      <c r="B225" t="s">
        <v>154</v>
      </c>
      <c r="C225" t="str">
        <f t="shared" si="3"/>
        <v>Aug</v>
      </c>
      <c r="D225">
        <f>YEAR(SalesData[[#This Row],[Date]])</f>
        <v>2024</v>
      </c>
      <c r="E225" t="s">
        <v>365</v>
      </c>
      <c r="F225" t="s">
        <v>369</v>
      </c>
      <c r="G225" t="s">
        <v>410</v>
      </c>
      <c r="H225" t="s">
        <v>476</v>
      </c>
      <c r="I225">
        <v>1990</v>
      </c>
      <c r="J225">
        <v>1.34</v>
      </c>
      <c r="K225">
        <v>2666.6</v>
      </c>
      <c r="L225">
        <v>0.85</v>
      </c>
      <c r="M225">
        <v>1691.5</v>
      </c>
      <c r="N225">
        <v>975.1</v>
      </c>
    </row>
    <row r="226" spans="1:14" x14ac:dyDescent="0.25">
      <c r="A226">
        <v>225</v>
      </c>
      <c r="B226" t="s">
        <v>186</v>
      </c>
      <c r="C226" t="str">
        <f t="shared" si="3"/>
        <v>Sep</v>
      </c>
      <c r="D226">
        <f>YEAR(SalesData[[#This Row],[Date]])</f>
        <v>2024</v>
      </c>
      <c r="E226" t="s">
        <v>363</v>
      </c>
      <c r="F226" t="s">
        <v>367</v>
      </c>
      <c r="G226" t="s">
        <v>430</v>
      </c>
      <c r="H226" t="s">
        <v>474</v>
      </c>
      <c r="I226">
        <v>2991</v>
      </c>
      <c r="J226">
        <v>0.92</v>
      </c>
      <c r="K226">
        <v>2751.72</v>
      </c>
      <c r="L226">
        <v>0.63</v>
      </c>
      <c r="M226">
        <v>1884.33</v>
      </c>
      <c r="N226">
        <v>867.39</v>
      </c>
    </row>
    <row r="227" spans="1:14" x14ac:dyDescent="0.25">
      <c r="A227">
        <v>226</v>
      </c>
      <c r="B227" t="s">
        <v>187</v>
      </c>
      <c r="C227" t="str">
        <f t="shared" si="3"/>
        <v>Dec</v>
      </c>
      <c r="D227">
        <f>YEAR(SalesData[[#This Row],[Date]])</f>
        <v>2024</v>
      </c>
      <c r="E227" t="s">
        <v>365</v>
      </c>
      <c r="F227" t="s">
        <v>368</v>
      </c>
      <c r="G227" t="s">
        <v>430</v>
      </c>
      <c r="H227" t="s">
        <v>482</v>
      </c>
      <c r="I227">
        <v>1146</v>
      </c>
      <c r="J227">
        <v>0.98</v>
      </c>
      <c r="K227">
        <v>1123.08</v>
      </c>
      <c r="L227">
        <v>0.74</v>
      </c>
      <c r="M227">
        <v>848.04</v>
      </c>
      <c r="N227">
        <v>275.04000000000002</v>
      </c>
    </row>
    <row r="228" spans="1:14" x14ac:dyDescent="0.25">
      <c r="A228">
        <v>227</v>
      </c>
      <c r="B228" t="s">
        <v>184</v>
      </c>
      <c r="C228" t="str">
        <f t="shared" si="3"/>
        <v>Oct</v>
      </c>
      <c r="D228">
        <f>YEAR(SalesData[[#This Row],[Date]])</f>
        <v>2024</v>
      </c>
      <c r="E228" t="s">
        <v>366</v>
      </c>
      <c r="F228" t="s">
        <v>370</v>
      </c>
      <c r="G228" t="s">
        <v>384</v>
      </c>
      <c r="H228" t="s">
        <v>482</v>
      </c>
      <c r="I228">
        <v>4870</v>
      </c>
      <c r="J228">
        <v>0.87</v>
      </c>
      <c r="K228">
        <v>4236.8999999999996</v>
      </c>
      <c r="L228">
        <v>0.66</v>
      </c>
      <c r="M228">
        <v>3214.2</v>
      </c>
      <c r="N228">
        <v>1022.7</v>
      </c>
    </row>
    <row r="229" spans="1:14" x14ac:dyDescent="0.25">
      <c r="A229">
        <v>228</v>
      </c>
      <c r="B229" t="s">
        <v>188</v>
      </c>
      <c r="C229" t="str">
        <f t="shared" si="3"/>
        <v>Oct</v>
      </c>
      <c r="D229">
        <f>YEAR(SalesData[[#This Row],[Date]])</f>
        <v>2024</v>
      </c>
      <c r="E229" t="s">
        <v>366</v>
      </c>
      <c r="F229" t="s">
        <v>368</v>
      </c>
      <c r="G229" t="s">
        <v>389</v>
      </c>
      <c r="H229" t="s">
        <v>489</v>
      </c>
      <c r="I229">
        <v>3265</v>
      </c>
      <c r="J229">
        <v>1.39</v>
      </c>
      <c r="K229">
        <v>4538.3500000000004</v>
      </c>
      <c r="L229">
        <v>1.03</v>
      </c>
      <c r="M229">
        <v>3362.95</v>
      </c>
      <c r="N229">
        <v>1175.4000000000001</v>
      </c>
    </row>
    <row r="230" spans="1:14" x14ac:dyDescent="0.25">
      <c r="A230">
        <v>229</v>
      </c>
      <c r="B230" t="s">
        <v>189</v>
      </c>
      <c r="C230" t="str">
        <f t="shared" si="3"/>
        <v>Jan</v>
      </c>
      <c r="D230">
        <f>YEAR(SalesData[[#This Row],[Date]])</f>
        <v>2024</v>
      </c>
      <c r="E230" t="s">
        <v>363</v>
      </c>
      <c r="F230" t="s">
        <v>367</v>
      </c>
      <c r="G230" t="s">
        <v>431</v>
      </c>
      <c r="H230" t="s">
        <v>479</v>
      </c>
      <c r="I230">
        <v>2668</v>
      </c>
      <c r="J230">
        <v>1.26</v>
      </c>
      <c r="K230">
        <v>3361.68</v>
      </c>
      <c r="L230">
        <v>1</v>
      </c>
      <c r="M230">
        <v>2668</v>
      </c>
      <c r="N230">
        <v>693.68</v>
      </c>
    </row>
    <row r="231" spans="1:14" x14ac:dyDescent="0.25">
      <c r="A231">
        <v>230</v>
      </c>
      <c r="B231" t="s">
        <v>190</v>
      </c>
      <c r="C231" t="str">
        <f t="shared" si="3"/>
        <v>Aug</v>
      </c>
      <c r="D231">
        <f>YEAR(SalesData[[#This Row],[Date]])</f>
        <v>2024</v>
      </c>
      <c r="E231" t="s">
        <v>364</v>
      </c>
      <c r="F231" t="s">
        <v>367</v>
      </c>
      <c r="G231" t="s">
        <v>384</v>
      </c>
      <c r="H231" t="s">
        <v>476</v>
      </c>
      <c r="I231">
        <v>2872</v>
      </c>
      <c r="J231">
        <v>1.25</v>
      </c>
      <c r="K231">
        <v>3590</v>
      </c>
      <c r="L231">
        <v>0.84</v>
      </c>
      <c r="M231">
        <v>2412.48</v>
      </c>
      <c r="N231">
        <v>1177.52</v>
      </c>
    </row>
    <row r="232" spans="1:14" x14ac:dyDescent="0.25">
      <c r="A232">
        <v>231</v>
      </c>
      <c r="B232" t="s">
        <v>46</v>
      </c>
      <c r="C232" t="str">
        <f t="shared" si="3"/>
        <v>May</v>
      </c>
      <c r="D232">
        <f>YEAR(SalesData[[#This Row],[Date]])</f>
        <v>2024</v>
      </c>
      <c r="E232" t="s">
        <v>365</v>
      </c>
      <c r="F232" t="s">
        <v>369</v>
      </c>
      <c r="G232" t="s">
        <v>378</v>
      </c>
      <c r="H232" t="s">
        <v>486</v>
      </c>
      <c r="I232">
        <v>990</v>
      </c>
      <c r="J232">
        <v>0.91</v>
      </c>
      <c r="K232">
        <v>900.9</v>
      </c>
      <c r="L232">
        <v>0.64</v>
      </c>
      <c r="M232">
        <v>633.6</v>
      </c>
      <c r="N232">
        <v>267.3</v>
      </c>
    </row>
    <row r="233" spans="1:14" x14ac:dyDescent="0.25">
      <c r="A233">
        <v>232</v>
      </c>
      <c r="B233" t="s">
        <v>191</v>
      </c>
      <c r="C233" t="str">
        <f t="shared" si="3"/>
        <v>Aug</v>
      </c>
      <c r="D233">
        <f>YEAR(SalesData[[#This Row],[Date]])</f>
        <v>2024</v>
      </c>
      <c r="E233" t="s">
        <v>365</v>
      </c>
      <c r="F233" t="s">
        <v>368</v>
      </c>
      <c r="G233" t="s">
        <v>444</v>
      </c>
      <c r="H233" t="s">
        <v>474</v>
      </c>
      <c r="I233">
        <v>3060</v>
      </c>
      <c r="J233">
        <v>1.4</v>
      </c>
      <c r="K233">
        <v>4284</v>
      </c>
      <c r="L233">
        <v>0.95</v>
      </c>
      <c r="M233">
        <v>2907</v>
      </c>
      <c r="N233">
        <v>1377</v>
      </c>
    </row>
    <row r="234" spans="1:14" x14ac:dyDescent="0.25">
      <c r="A234">
        <v>233</v>
      </c>
      <c r="B234" t="s">
        <v>192</v>
      </c>
      <c r="C234" t="str">
        <f t="shared" si="3"/>
        <v>Jun</v>
      </c>
      <c r="D234">
        <f>YEAR(SalesData[[#This Row],[Date]])</f>
        <v>2024</v>
      </c>
      <c r="E234" t="s">
        <v>366</v>
      </c>
      <c r="F234" t="s">
        <v>369</v>
      </c>
      <c r="G234" t="s">
        <v>424</v>
      </c>
      <c r="H234" t="s">
        <v>475</v>
      </c>
      <c r="I234">
        <v>4718</v>
      </c>
      <c r="J234">
        <v>1.19</v>
      </c>
      <c r="K234">
        <v>5614.42</v>
      </c>
      <c r="L234">
        <v>0.81</v>
      </c>
      <c r="M234">
        <v>3821.58</v>
      </c>
      <c r="N234">
        <v>1792.84</v>
      </c>
    </row>
    <row r="235" spans="1:14" x14ac:dyDescent="0.25">
      <c r="A235">
        <v>234</v>
      </c>
      <c r="B235" t="s">
        <v>122</v>
      </c>
      <c r="C235" t="str">
        <f t="shared" si="3"/>
        <v>Aug</v>
      </c>
      <c r="D235">
        <f>YEAR(SalesData[[#This Row],[Date]])</f>
        <v>2024</v>
      </c>
      <c r="E235" t="s">
        <v>365</v>
      </c>
      <c r="F235" t="s">
        <v>367</v>
      </c>
      <c r="G235" t="s">
        <v>434</v>
      </c>
      <c r="H235" t="s">
        <v>477</v>
      </c>
      <c r="I235">
        <v>1654</v>
      </c>
      <c r="J235">
        <v>0.87</v>
      </c>
      <c r="K235">
        <v>1438.98</v>
      </c>
      <c r="L235">
        <v>0.59</v>
      </c>
      <c r="M235">
        <v>975.86</v>
      </c>
      <c r="N235">
        <v>463.12</v>
      </c>
    </row>
    <row r="236" spans="1:14" x14ac:dyDescent="0.25">
      <c r="A236">
        <v>235</v>
      </c>
      <c r="B236" t="s">
        <v>179</v>
      </c>
      <c r="C236" t="str">
        <f t="shared" si="3"/>
        <v>Jul</v>
      </c>
      <c r="D236">
        <f>YEAR(SalesData[[#This Row],[Date]])</f>
        <v>2024</v>
      </c>
      <c r="E236" t="s">
        <v>366</v>
      </c>
      <c r="F236" t="s">
        <v>369</v>
      </c>
      <c r="G236" t="s">
        <v>406</v>
      </c>
      <c r="H236" t="s">
        <v>487</v>
      </c>
      <c r="I236">
        <v>3061</v>
      </c>
      <c r="J236">
        <v>0.93</v>
      </c>
      <c r="K236">
        <v>2846.73</v>
      </c>
      <c r="L236">
        <v>0.6</v>
      </c>
      <c r="M236">
        <v>1836.6</v>
      </c>
      <c r="N236">
        <v>1010.13</v>
      </c>
    </row>
    <row r="237" spans="1:14" x14ac:dyDescent="0.25">
      <c r="A237">
        <v>236</v>
      </c>
      <c r="B237" t="s">
        <v>193</v>
      </c>
      <c r="C237" t="str">
        <f t="shared" si="3"/>
        <v>Sep</v>
      </c>
      <c r="D237">
        <f>YEAR(SalesData[[#This Row],[Date]])</f>
        <v>2024</v>
      </c>
      <c r="E237" t="s">
        <v>364</v>
      </c>
      <c r="F237" t="s">
        <v>369</v>
      </c>
      <c r="G237" t="s">
        <v>428</v>
      </c>
      <c r="H237" t="s">
        <v>483</v>
      </c>
      <c r="I237">
        <v>689</v>
      </c>
      <c r="J237">
        <v>0.86</v>
      </c>
      <c r="K237">
        <v>592.54</v>
      </c>
      <c r="L237">
        <v>0.6</v>
      </c>
      <c r="M237">
        <v>413.4</v>
      </c>
      <c r="N237">
        <v>179.14</v>
      </c>
    </row>
    <row r="238" spans="1:14" x14ac:dyDescent="0.25">
      <c r="A238">
        <v>237</v>
      </c>
      <c r="B238" t="s">
        <v>172</v>
      </c>
      <c r="C238" t="str">
        <f t="shared" si="3"/>
        <v>Aug</v>
      </c>
      <c r="D238">
        <f>YEAR(SalesData[[#This Row],[Date]])</f>
        <v>2024</v>
      </c>
      <c r="E238" t="s">
        <v>366</v>
      </c>
      <c r="F238" t="s">
        <v>368</v>
      </c>
      <c r="G238" t="s">
        <v>461</v>
      </c>
      <c r="H238" t="s">
        <v>475</v>
      </c>
      <c r="I238">
        <v>898</v>
      </c>
      <c r="J238">
        <v>0.84</v>
      </c>
      <c r="K238">
        <v>754.32</v>
      </c>
      <c r="L238">
        <v>0.61</v>
      </c>
      <c r="M238">
        <v>547.78</v>
      </c>
      <c r="N238">
        <v>206.54</v>
      </c>
    </row>
    <row r="239" spans="1:14" x14ac:dyDescent="0.25">
      <c r="A239">
        <v>238</v>
      </c>
      <c r="B239" t="s">
        <v>47</v>
      </c>
      <c r="C239" t="str">
        <f t="shared" si="3"/>
        <v>Nov</v>
      </c>
      <c r="D239">
        <f>YEAR(SalesData[[#This Row],[Date]])</f>
        <v>2024</v>
      </c>
      <c r="E239" t="s">
        <v>365</v>
      </c>
      <c r="F239" t="s">
        <v>369</v>
      </c>
      <c r="G239" t="s">
        <v>379</v>
      </c>
      <c r="H239" t="s">
        <v>472</v>
      </c>
      <c r="I239">
        <v>1380</v>
      </c>
      <c r="J239">
        <v>1.1000000000000001</v>
      </c>
      <c r="K239">
        <v>1518</v>
      </c>
      <c r="L239">
        <v>0.9</v>
      </c>
      <c r="M239">
        <v>1242</v>
      </c>
      <c r="N239">
        <v>276</v>
      </c>
    </row>
    <row r="240" spans="1:14" x14ac:dyDescent="0.25">
      <c r="A240">
        <v>239</v>
      </c>
      <c r="B240" t="s">
        <v>127</v>
      </c>
      <c r="C240" t="str">
        <f t="shared" si="3"/>
        <v>Jul</v>
      </c>
      <c r="D240">
        <f>YEAR(SalesData[[#This Row],[Date]])</f>
        <v>2024</v>
      </c>
      <c r="E240" t="s">
        <v>365</v>
      </c>
      <c r="F240" t="s">
        <v>369</v>
      </c>
      <c r="G240" t="s">
        <v>377</v>
      </c>
      <c r="H240" t="s">
        <v>484</v>
      </c>
      <c r="I240">
        <v>919</v>
      </c>
      <c r="J240">
        <v>1.2</v>
      </c>
      <c r="K240">
        <v>1102.8</v>
      </c>
      <c r="L240">
        <v>0.78</v>
      </c>
      <c r="M240">
        <v>716.82</v>
      </c>
      <c r="N240">
        <v>385.98</v>
      </c>
    </row>
    <row r="241" spans="1:14" x14ac:dyDescent="0.25">
      <c r="A241">
        <v>240</v>
      </c>
      <c r="B241" t="s">
        <v>48</v>
      </c>
      <c r="C241" t="str">
        <f t="shared" si="3"/>
        <v>Oct</v>
      </c>
      <c r="D241">
        <f>YEAR(SalesData[[#This Row],[Date]])</f>
        <v>2024</v>
      </c>
      <c r="E241" t="s">
        <v>363</v>
      </c>
      <c r="F241" t="s">
        <v>370</v>
      </c>
      <c r="G241" t="s">
        <v>440</v>
      </c>
      <c r="H241" t="s">
        <v>490</v>
      </c>
      <c r="I241">
        <v>4189</v>
      </c>
      <c r="J241">
        <v>1.34</v>
      </c>
      <c r="K241">
        <v>5613.26</v>
      </c>
      <c r="L241">
        <v>0.9</v>
      </c>
      <c r="M241">
        <v>3770.1</v>
      </c>
      <c r="N241">
        <v>1843.16</v>
      </c>
    </row>
    <row r="242" spans="1:14" x14ac:dyDescent="0.25">
      <c r="A242">
        <v>241</v>
      </c>
      <c r="B242" t="s">
        <v>194</v>
      </c>
      <c r="C242" t="str">
        <f t="shared" si="3"/>
        <v>Nov</v>
      </c>
      <c r="D242">
        <f>YEAR(SalesData[[#This Row],[Date]])</f>
        <v>2024</v>
      </c>
      <c r="E242" t="s">
        <v>366</v>
      </c>
      <c r="F242" t="s">
        <v>367</v>
      </c>
      <c r="G242" t="s">
        <v>462</v>
      </c>
      <c r="H242" t="s">
        <v>484</v>
      </c>
      <c r="I242">
        <v>3557</v>
      </c>
      <c r="J242">
        <v>1.36</v>
      </c>
      <c r="K242">
        <v>4837.5200000000004</v>
      </c>
      <c r="L242">
        <v>0.93</v>
      </c>
      <c r="M242">
        <v>3308.01</v>
      </c>
      <c r="N242">
        <v>1529.51</v>
      </c>
    </row>
    <row r="243" spans="1:14" x14ac:dyDescent="0.25">
      <c r="A243">
        <v>242</v>
      </c>
      <c r="B243" t="s">
        <v>127</v>
      </c>
      <c r="C243" t="str">
        <f t="shared" si="3"/>
        <v>Jul</v>
      </c>
      <c r="D243">
        <f>YEAR(SalesData[[#This Row],[Date]])</f>
        <v>2024</v>
      </c>
      <c r="E243" t="s">
        <v>366</v>
      </c>
      <c r="F243" t="s">
        <v>368</v>
      </c>
      <c r="G243" t="s">
        <v>444</v>
      </c>
      <c r="H243" t="s">
        <v>490</v>
      </c>
      <c r="I243">
        <v>3788</v>
      </c>
      <c r="J243">
        <v>1.1499999999999999</v>
      </c>
      <c r="K243">
        <v>4356.2</v>
      </c>
      <c r="L243">
        <v>0.7</v>
      </c>
      <c r="M243">
        <v>2651.6</v>
      </c>
      <c r="N243">
        <v>1704.6</v>
      </c>
    </row>
    <row r="244" spans="1:14" x14ac:dyDescent="0.25">
      <c r="A244">
        <v>243</v>
      </c>
      <c r="B244" t="s">
        <v>195</v>
      </c>
      <c r="C244" t="str">
        <f t="shared" si="3"/>
        <v>Mar</v>
      </c>
      <c r="D244">
        <f>YEAR(SalesData[[#This Row],[Date]])</f>
        <v>2024</v>
      </c>
      <c r="E244" t="s">
        <v>364</v>
      </c>
      <c r="F244" t="s">
        <v>370</v>
      </c>
      <c r="G244" t="s">
        <v>430</v>
      </c>
      <c r="H244" t="s">
        <v>473</v>
      </c>
      <c r="I244">
        <v>1720</v>
      </c>
      <c r="J244">
        <v>1.22</v>
      </c>
      <c r="K244">
        <v>2098.4</v>
      </c>
      <c r="L244">
        <v>0.89</v>
      </c>
      <c r="M244">
        <v>1530.8</v>
      </c>
      <c r="N244">
        <v>567.6</v>
      </c>
    </row>
    <row r="245" spans="1:14" x14ac:dyDescent="0.25">
      <c r="A245">
        <v>244</v>
      </c>
      <c r="B245" t="s">
        <v>196</v>
      </c>
      <c r="C245" t="str">
        <f t="shared" si="3"/>
        <v>Jun</v>
      </c>
      <c r="D245">
        <f>YEAR(SalesData[[#This Row],[Date]])</f>
        <v>2024</v>
      </c>
      <c r="E245" t="s">
        <v>366</v>
      </c>
      <c r="F245" t="s">
        <v>370</v>
      </c>
      <c r="G245" t="s">
        <v>455</v>
      </c>
      <c r="H245" t="s">
        <v>489</v>
      </c>
      <c r="I245">
        <v>2951</v>
      </c>
      <c r="J245">
        <v>1.22</v>
      </c>
      <c r="K245">
        <v>3600.22</v>
      </c>
      <c r="L245">
        <v>0.89</v>
      </c>
      <c r="M245">
        <v>2626.39</v>
      </c>
      <c r="N245">
        <v>973.83</v>
      </c>
    </row>
    <row r="246" spans="1:14" x14ac:dyDescent="0.25">
      <c r="A246">
        <v>245</v>
      </c>
      <c r="B246" t="s">
        <v>197</v>
      </c>
      <c r="C246" t="str">
        <f t="shared" si="3"/>
        <v>Sep</v>
      </c>
      <c r="D246">
        <f>YEAR(SalesData[[#This Row],[Date]])</f>
        <v>2024</v>
      </c>
      <c r="E246" t="s">
        <v>365</v>
      </c>
      <c r="F246" t="s">
        <v>369</v>
      </c>
      <c r="G246" t="s">
        <v>393</v>
      </c>
      <c r="H246" t="s">
        <v>472</v>
      </c>
      <c r="I246">
        <v>3517</v>
      </c>
      <c r="J246">
        <v>1.03</v>
      </c>
      <c r="K246">
        <v>3622.51</v>
      </c>
      <c r="L246">
        <v>0.65</v>
      </c>
      <c r="M246">
        <v>2286.0500000000002</v>
      </c>
      <c r="N246">
        <v>1336.46</v>
      </c>
    </row>
    <row r="247" spans="1:14" x14ac:dyDescent="0.25">
      <c r="A247">
        <v>246</v>
      </c>
      <c r="B247" t="s">
        <v>190</v>
      </c>
      <c r="C247" t="str">
        <f t="shared" si="3"/>
        <v>Aug</v>
      </c>
      <c r="D247">
        <f>YEAR(SalesData[[#This Row],[Date]])</f>
        <v>2024</v>
      </c>
      <c r="E247" t="s">
        <v>363</v>
      </c>
      <c r="F247" t="s">
        <v>370</v>
      </c>
      <c r="G247" t="s">
        <v>448</v>
      </c>
      <c r="H247" t="s">
        <v>483</v>
      </c>
      <c r="I247">
        <v>2675</v>
      </c>
      <c r="J247">
        <v>1.48</v>
      </c>
      <c r="K247">
        <v>3959</v>
      </c>
      <c r="L247">
        <v>1.18</v>
      </c>
      <c r="M247">
        <v>3156.5</v>
      </c>
      <c r="N247">
        <v>802.5</v>
      </c>
    </row>
    <row r="248" spans="1:14" x14ac:dyDescent="0.25">
      <c r="A248">
        <v>247</v>
      </c>
      <c r="B248" t="s">
        <v>198</v>
      </c>
      <c r="C248" t="str">
        <f t="shared" si="3"/>
        <v>Oct</v>
      </c>
      <c r="D248">
        <f>YEAR(SalesData[[#This Row],[Date]])</f>
        <v>2024</v>
      </c>
      <c r="E248" t="s">
        <v>363</v>
      </c>
      <c r="F248" t="s">
        <v>368</v>
      </c>
      <c r="G248" t="s">
        <v>461</v>
      </c>
      <c r="H248" t="s">
        <v>483</v>
      </c>
      <c r="I248">
        <v>1896</v>
      </c>
      <c r="J248">
        <v>1.17</v>
      </c>
      <c r="K248">
        <v>2218.3200000000002</v>
      </c>
      <c r="L248">
        <v>0.91</v>
      </c>
      <c r="M248">
        <v>1725.36</v>
      </c>
      <c r="N248">
        <v>492.96</v>
      </c>
    </row>
    <row r="249" spans="1:14" x14ac:dyDescent="0.25">
      <c r="A249">
        <v>248</v>
      </c>
      <c r="B249" t="s">
        <v>79</v>
      </c>
      <c r="C249" t="str">
        <f t="shared" si="3"/>
        <v>Jul</v>
      </c>
      <c r="D249">
        <f>YEAR(SalesData[[#This Row],[Date]])</f>
        <v>2024</v>
      </c>
      <c r="E249" t="s">
        <v>366</v>
      </c>
      <c r="F249" t="s">
        <v>368</v>
      </c>
      <c r="G249" t="s">
        <v>372</v>
      </c>
      <c r="H249" t="s">
        <v>479</v>
      </c>
      <c r="I249">
        <v>1400</v>
      </c>
      <c r="J249">
        <v>0.93</v>
      </c>
      <c r="K249">
        <v>1302</v>
      </c>
      <c r="L249">
        <v>0.66</v>
      </c>
      <c r="M249">
        <v>924</v>
      </c>
      <c r="N249">
        <v>378</v>
      </c>
    </row>
    <row r="250" spans="1:14" x14ac:dyDescent="0.25">
      <c r="A250">
        <v>249</v>
      </c>
      <c r="B250" t="s">
        <v>167</v>
      </c>
      <c r="C250" t="str">
        <f t="shared" si="3"/>
        <v>Aug</v>
      </c>
      <c r="D250">
        <f>YEAR(SalesData[[#This Row],[Date]])</f>
        <v>2024</v>
      </c>
      <c r="E250" t="s">
        <v>364</v>
      </c>
      <c r="F250" t="s">
        <v>368</v>
      </c>
      <c r="G250" t="s">
        <v>454</v>
      </c>
      <c r="H250" t="s">
        <v>485</v>
      </c>
      <c r="I250">
        <v>3861</v>
      </c>
      <c r="J250">
        <v>1.1499999999999999</v>
      </c>
      <c r="K250">
        <v>4440.1499999999996</v>
      </c>
      <c r="L250">
        <v>0.87</v>
      </c>
      <c r="M250">
        <v>3359.07</v>
      </c>
      <c r="N250">
        <v>1081.08</v>
      </c>
    </row>
    <row r="251" spans="1:14" x14ac:dyDescent="0.25">
      <c r="A251">
        <v>250</v>
      </c>
      <c r="B251" t="s">
        <v>199</v>
      </c>
      <c r="C251" t="str">
        <f t="shared" si="3"/>
        <v>Aug</v>
      </c>
      <c r="D251">
        <f>YEAR(SalesData[[#This Row],[Date]])</f>
        <v>2024</v>
      </c>
      <c r="E251" t="s">
        <v>366</v>
      </c>
      <c r="F251" t="s">
        <v>367</v>
      </c>
      <c r="G251" t="s">
        <v>430</v>
      </c>
      <c r="H251" t="s">
        <v>485</v>
      </c>
      <c r="I251">
        <v>3162</v>
      </c>
      <c r="J251">
        <v>1.5</v>
      </c>
      <c r="K251">
        <v>4743</v>
      </c>
      <c r="L251">
        <v>1.08</v>
      </c>
      <c r="M251">
        <v>3414.96</v>
      </c>
      <c r="N251">
        <v>1328.04</v>
      </c>
    </row>
    <row r="252" spans="1:14" x14ac:dyDescent="0.25">
      <c r="A252">
        <v>251</v>
      </c>
      <c r="B252" t="s">
        <v>200</v>
      </c>
      <c r="C252" t="str">
        <f t="shared" si="3"/>
        <v>Jul</v>
      </c>
      <c r="D252">
        <f>YEAR(SalesData[[#This Row],[Date]])</f>
        <v>2024</v>
      </c>
      <c r="E252" t="s">
        <v>366</v>
      </c>
      <c r="F252" t="s">
        <v>370</v>
      </c>
      <c r="G252" t="s">
        <v>378</v>
      </c>
      <c r="H252" t="s">
        <v>476</v>
      </c>
      <c r="I252">
        <v>3304</v>
      </c>
      <c r="J252">
        <v>1.18</v>
      </c>
      <c r="K252">
        <v>3898.72</v>
      </c>
      <c r="L252">
        <v>0.91</v>
      </c>
      <c r="M252">
        <v>3006.64</v>
      </c>
      <c r="N252">
        <v>892.08</v>
      </c>
    </row>
    <row r="253" spans="1:14" x14ac:dyDescent="0.25">
      <c r="A253">
        <v>252</v>
      </c>
      <c r="B253" t="s">
        <v>201</v>
      </c>
      <c r="C253" t="str">
        <f t="shared" si="3"/>
        <v>Dec</v>
      </c>
      <c r="D253">
        <f>YEAR(SalesData[[#This Row],[Date]])</f>
        <v>2024</v>
      </c>
      <c r="E253" t="s">
        <v>364</v>
      </c>
      <c r="F253" t="s">
        <v>370</v>
      </c>
      <c r="G253" t="s">
        <v>395</v>
      </c>
      <c r="H253" t="s">
        <v>477</v>
      </c>
      <c r="I253">
        <v>2785</v>
      </c>
      <c r="J253">
        <v>1.19</v>
      </c>
      <c r="K253">
        <v>3314.15</v>
      </c>
      <c r="L253">
        <v>0.78</v>
      </c>
      <c r="M253">
        <v>2172.3000000000002</v>
      </c>
      <c r="N253">
        <v>1141.8499999999999</v>
      </c>
    </row>
    <row r="254" spans="1:14" x14ac:dyDescent="0.25">
      <c r="A254">
        <v>253</v>
      </c>
      <c r="B254" t="s">
        <v>76</v>
      </c>
      <c r="C254" t="str">
        <f t="shared" si="3"/>
        <v>Jun</v>
      </c>
      <c r="D254">
        <f>YEAR(SalesData[[#This Row],[Date]])</f>
        <v>2024</v>
      </c>
      <c r="E254" t="s">
        <v>366</v>
      </c>
      <c r="F254" t="s">
        <v>370</v>
      </c>
      <c r="G254" t="s">
        <v>454</v>
      </c>
      <c r="H254" t="s">
        <v>483</v>
      </c>
      <c r="I254">
        <v>3097</v>
      </c>
      <c r="J254">
        <v>1.1399999999999999</v>
      </c>
      <c r="K254">
        <v>3530.58</v>
      </c>
      <c r="L254">
        <v>0.84</v>
      </c>
      <c r="M254">
        <v>2601.48</v>
      </c>
      <c r="N254">
        <v>929.1</v>
      </c>
    </row>
    <row r="255" spans="1:14" x14ac:dyDescent="0.25">
      <c r="A255">
        <v>254</v>
      </c>
      <c r="B255" t="s">
        <v>124</v>
      </c>
      <c r="C255" t="str">
        <f t="shared" si="3"/>
        <v>May</v>
      </c>
      <c r="D255">
        <f>YEAR(SalesData[[#This Row],[Date]])</f>
        <v>2024</v>
      </c>
      <c r="E255" t="s">
        <v>363</v>
      </c>
      <c r="F255" t="s">
        <v>370</v>
      </c>
      <c r="G255" t="s">
        <v>415</v>
      </c>
      <c r="H255" t="s">
        <v>476</v>
      </c>
      <c r="I255">
        <v>3610</v>
      </c>
      <c r="J255">
        <v>1.43</v>
      </c>
      <c r="K255">
        <v>5162.3</v>
      </c>
      <c r="L255">
        <v>1</v>
      </c>
      <c r="M255">
        <v>3610</v>
      </c>
      <c r="N255">
        <v>1552.3</v>
      </c>
    </row>
    <row r="256" spans="1:14" x14ac:dyDescent="0.25">
      <c r="A256">
        <v>255</v>
      </c>
      <c r="B256" t="s">
        <v>192</v>
      </c>
      <c r="C256" t="str">
        <f t="shared" si="3"/>
        <v>Jun</v>
      </c>
      <c r="D256">
        <f>YEAR(SalesData[[#This Row],[Date]])</f>
        <v>2024</v>
      </c>
      <c r="E256" t="s">
        <v>365</v>
      </c>
      <c r="F256" t="s">
        <v>368</v>
      </c>
      <c r="G256" t="s">
        <v>377</v>
      </c>
      <c r="H256" t="s">
        <v>482</v>
      </c>
      <c r="I256">
        <v>1147</v>
      </c>
      <c r="J256">
        <v>1.04</v>
      </c>
      <c r="K256">
        <v>1192.8800000000001</v>
      </c>
      <c r="L256">
        <v>0.74</v>
      </c>
      <c r="M256">
        <v>848.78</v>
      </c>
      <c r="N256">
        <v>344.1</v>
      </c>
    </row>
    <row r="257" spans="1:14" x14ac:dyDescent="0.25">
      <c r="A257">
        <v>256</v>
      </c>
      <c r="B257" t="s">
        <v>202</v>
      </c>
      <c r="C257" t="str">
        <f t="shared" si="3"/>
        <v>May</v>
      </c>
      <c r="D257">
        <f>YEAR(SalesData[[#This Row],[Date]])</f>
        <v>2024</v>
      </c>
      <c r="E257" t="s">
        <v>366</v>
      </c>
      <c r="F257" t="s">
        <v>369</v>
      </c>
      <c r="G257" t="s">
        <v>418</v>
      </c>
      <c r="H257" t="s">
        <v>476</v>
      </c>
      <c r="I257">
        <v>2721</v>
      </c>
      <c r="J257">
        <v>1.45</v>
      </c>
      <c r="K257">
        <v>3945.45</v>
      </c>
      <c r="L257">
        <v>1.1200000000000001</v>
      </c>
      <c r="M257">
        <v>3047.52</v>
      </c>
      <c r="N257">
        <v>897.93</v>
      </c>
    </row>
    <row r="258" spans="1:14" x14ac:dyDescent="0.25">
      <c r="A258">
        <v>257</v>
      </c>
      <c r="B258" t="s">
        <v>195</v>
      </c>
      <c r="C258" t="str">
        <f t="shared" ref="C258:C321" si="4">TEXT(B258,"mmm")</f>
        <v>Mar</v>
      </c>
      <c r="D258">
        <f>YEAR(SalesData[[#This Row],[Date]])</f>
        <v>2024</v>
      </c>
      <c r="E258" t="s">
        <v>366</v>
      </c>
      <c r="F258" t="s">
        <v>367</v>
      </c>
      <c r="G258" t="s">
        <v>391</v>
      </c>
      <c r="H258" t="s">
        <v>478</v>
      </c>
      <c r="I258">
        <v>4850</v>
      </c>
      <c r="J258">
        <v>0.96</v>
      </c>
      <c r="K258">
        <v>4656</v>
      </c>
      <c r="L258">
        <v>0.63</v>
      </c>
      <c r="M258">
        <v>3055.5</v>
      </c>
      <c r="N258">
        <v>1600.5</v>
      </c>
    </row>
    <row r="259" spans="1:14" x14ac:dyDescent="0.25">
      <c r="A259">
        <v>258</v>
      </c>
      <c r="B259" t="s">
        <v>19</v>
      </c>
      <c r="C259" t="str">
        <f t="shared" si="4"/>
        <v>Feb</v>
      </c>
      <c r="D259">
        <f>YEAR(SalesData[[#This Row],[Date]])</f>
        <v>2024</v>
      </c>
      <c r="E259" t="s">
        <v>365</v>
      </c>
      <c r="F259" t="s">
        <v>369</v>
      </c>
      <c r="G259" t="s">
        <v>390</v>
      </c>
      <c r="H259" t="s">
        <v>483</v>
      </c>
      <c r="I259">
        <v>1323</v>
      </c>
      <c r="J259">
        <v>1.28</v>
      </c>
      <c r="K259">
        <v>1693.44</v>
      </c>
      <c r="L259">
        <v>0.81</v>
      </c>
      <c r="M259">
        <v>1071.6300000000001</v>
      </c>
      <c r="N259">
        <v>621.80999999999995</v>
      </c>
    </row>
    <row r="260" spans="1:14" x14ac:dyDescent="0.25">
      <c r="A260">
        <v>259</v>
      </c>
      <c r="B260" t="s">
        <v>107</v>
      </c>
      <c r="C260" t="str">
        <f t="shared" si="4"/>
        <v>Oct</v>
      </c>
      <c r="D260">
        <f>YEAR(SalesData[[#This Row],[Date]])</f>
        <v>2024</v>
      </c>
      <c r="E260" t="s">
        <v>364</v>
      </c>
      <c r="F260" t="s">
        <v>368</v>
      </c>
      <c r="G260" t="s">
        <v>420</v>
      </c>
      <c r="H260" t="s">
        <v>483</v>
      </c>
      <c r="I260">
        <v>4411</v>
      </c>
      <c r="J260">
        <v>1.26</v>
      </c>
      <c r="K260">
        <v>5557.86</v>
      </c>
      <c r="L260">
        <v>0.99</v>
      </c>
      <c r="M260">
        <v>4366.8900000000003</v>
      </c>
      <c r="N260">
        <v>1190.97</v>
      </c>
    </row>
    <row r="261" spans="1:14" x14ac:dyDescent="0.25">
      <c r="A261">
        <v>260</v>
      </c>
      <c r="B261" t="s">
        <v>203</v>
      </c>
      <c r="C261" t="str">
        <f t="shared" si="4"/>
        <v>May</v>
      </c>
      <c r="D261">
        <f>YEAR(SalesData[[#This Row],[Date]])</f>
        <v>2024</v>
      </c>
      <c r="E261" t="s">
        <v>365</v>
      </c>
      <c r="F261" t="s">
        <v>370</v>
      </c>
      <c r="G261" t="s">
        <v>431</v>
      </c>
      <c r="H261" t="s">
        <v>478</v>
      </c>
      <c r="I261">
        <v>1232</v>
      </c>
      <c r="J261">
        <v>1.26</v>
      </c>
      <c r="K261">
        <v>1552.32</v>
      </c>
      <c r="L261">
        <v>0.83</v>
      </c>
      <c r="M261">
        <v>1022.56</v>
      </c>
      <c r="N261">
        <v>529.76</v>
      </c>
    </row>
    <row r="262" spans="1:14" x14ac:dyDescent="0.25">
      <c r="A262">
        <v>261</v>
      </c>
      <c r="B262" t="s">
        <v>204</v>
      </c>
      <c r="C262" t="str">
        <f t="shared" si="4"/>
        <v>Jan</v>
      </c>
      <c r="D262">
        <f>YEAR(SalesData[[#This Row],[Date]])</f>
        <v>2024</v>
      </c>
      <c r="E262" t="s">
        <v>364</v>
      </c>
      <c r="F262" t="s">
        <v>368</v>
      </c>
      <c r="G262" t="s">
        <v>445</v>
      </c>
      <c r="H262" t="s">
        <v>478</v>
      </c>
      <c r="I262">
        <v>3752</v>
      </c>
      <c r="J262">
        <v>1.35</v>
      </c>
      <c r="K262">
        <v>5065.2</v>
      </c>
      <c r="L262">
        <v>0.87</v>
      </c>
      <c r="M262">
        <v>3264.24</v>
      </c>
      <c r="N262">
        <v>1800.96</v>
      </c>
    </row>
    <row r="263" spans="1:14" x14ac:dyDescent="0.25">
      <c r="A263">
        <v>262</v>
      </c>
      <c r="B263" t="s">
        <v>183</v>
      </c>
      <c r="C263" t="str">
        <f t="shared" si="4"/>
        <v>May</v>
      </c>
      <c r="D263">
        <f>YEAR(SalesData[[#This Row],[Date]])</f>
        <v>2024</v>
      </c>
      <c r="E263" t="s">
        <v>363</v>
      </c>
      <c r="F263" t="s">
        <v>367</v>
      </c>
      <c r="G263" t="s">
        <v>443</v>
      </c>
      <c r="H263" t="s">
        <v>479</v>
      </c>
      <c r="I263">
        <v>1379</v>
      </c>
      <c r="J263">
        <v>1.45</v>
      </c>
      <c r="K263">
        <v>1999.55</v>
      </c>
      <c r="L263">
        <v>0.99</v>
      </c>
      <c r="M263">
        <v>1365.21</v>
      </c>
      <c r="N263">
        <v>634.34</v>
      </c>
    </row>
    <row r="264" spans="1:14" x14ac:dyDescent="0.25">
      <c r="A264">
        <v>263</v>
      </c>
      <c r="B264" t="s">
        <v>134</v>
      </c>
      <c r="C264" t="str">
        <f t="shared" si="4"/>
        <v>Aug</v>
      </c>
      <c r="D264">
        <f>YEAR(SalesData[[#This Row],[Date]])</f>
        <v>2024</v>
      </c>
      <c r="E264" t="s">
        <v>366</v>
      </c>
      <c r="F264" t="s">
        <v>369</v>
      </c>
      <c r="G264" t="s">
        <v>405</v>
      </c>
      <c r="H264" t="s">
        <v>473</v>
      </c>
      <c r="I264">
        <v>2735</v>
      </c>
      <c r="J264">
        <v>0.93</v>
      </c>
      <c r="K264">
        <v>2543.5500000000002</v>
      </c>
      <c r="L264">
        <v>0.57999999999999996</v>
      </c>
      <c r="M264">
        <v>1586.3</v>
      </c>
      <c r="N264">
        <v>957.25</v>
      </c>
    </row>
    <row r="265" spans="1:14" x14ac:dyDescent="0.25">
      <c r="A265">
        <v>264</v>
      </c>
      <c r="B265" t="s">
        <v>205</v>
      </c>
      <c r="C265" t="str">
        <f t="shared" si="4"/>
        <v>Mar</v>
      </c>
      <c r="D265">
        <f>YEAR(SalesData[[#This Row],[Date]])</f>
        <v>2024</v>
      </c>
      <c r="E265" t="s">
        <v>365</v>
      </c>
      <c r="F265" t="s">
        <v>369</v>
      </c>
      <c r="G265" t="s">
        <v>390</v>
      </c>
      <c r="H265" t="s">
        <v>480</v>
      </c>
      <c r="I265">
        <v>615</v>
      </c>
      <c r="J265">
        <v>1.32</v>
      </c>
      <c r="K265">
        <v>811.8</v>
      </c>
      <c r="L265">
        <v>1.05</v>
      </c>
      <c r="M265">
        <v>645.75</v>
      </c>
      <c r="N265">
        <v>166.05</v>
      </c>
    </row>
    <row r="266" spans="1:14" x14ac:dyDescent="0.25">
      <c r="A266">
        <v>265</v>
      </c>
      <c r="B266" t="s">
        <v>206</v>
      </c>
      <c r="C266" t="str">
        <f t="shared" si="4"/>
        <v>Oct</v>
      </c>
      <c r="D266">
        <f>YEAR(SalesData[[#This Row],[Date]])</f>
        <v>2024</v>
      </c>
      <c r="E266" t="s">
        <v>366</v>
      </c>
      <c r="F266" t="s">
        <v>368</v>
      </c>
      <c r="G266" t="s">
        <v>422</v>
      </c>
      <c r="H266" t="s">
        <v>484</v>
      </c>
      <c r="I266">
        <v>4003</v>
      </c>
      <c r="J266">
        <v>1.1599999999999999</v>
      </c>
      <c r="K266">
        <v>4643.4799999999996</v>
      </c>
      <c r="L266">
        <v>0.72</v>
      </c>
      <c r="M266">
        <v>2882.16</v>
      </c>
      <c r="N266">
        <v>1761.32</v>
      </c>
    </row>
    <row r="267" spans="1:14" x14ac:dyDescent="0.25">
      <c r="A267">
        <v>266</v>
      </c>
      <c r="B267" t="s">
        <v>207</v>
      </c>
      <c r="C267" t="str">
        <f t="shared" si="4"/>
        <v>Dec</v>
      </c>
      <c r="D267">
        <f>YEAR(SalesData[[#This Row],[Date]])</f>
        <v>2024</v>
      </c>
      <c r="E267" t="s">
        <v>366</v>
      </c>
      <c r="F267" t="s">
        <v>367</v>
      </c>
      <c r="G267" t="s">
        <v>457</v>
      </c>
      <c r="H267" t="s">
        <v>483</v>
      </c>
      <c r="I267">
        <v>3150</v>
      </c>
      <c r="J267">
        <v>1.46</v>
      </c>
      <c r="K267">
        <v>4599</v>
      </c>
      <c r="L267">
        <v>0.88</v>
      </c>
      <c r="M267">
        <v>2772</v>
      </c>
      <c r="N267">
        <v>1827</v>
      </c>
    </row>
    <row r="268" spans="1:14" x14ac:dyDescent="0.25">
      <c r="A268">
        <v>267</v>
      </c>
      <c r="B268" t="s">
        <v>179</v>
      </c>
      <c r="C268" t="str">
        <f t="shared" si="4"/>
        <v>Jul</v>
      </c>
      <c r="D268">
        <f>YEAR(SalesData[[#This Row],[Date]])</f>
        <v>2024</v>
      </c>
      <c r="E268" t="s">
        <v>364</v>
      </c>
      <c r="F268" t="s">
        <v>368</v>
      </c>
      <c r="G268" t="s">
        <v>463</v>
      </c>
      <c r="H268" t="s">
        <v>471</v>
      </c>
      <c r="I268">
        <v>3200</v>
      </c>
      <c r="J268">
        <v>1.01</v>
      </c>
      <c r="K268">
        <v>3232</v>
      </c>
      <c r="L268">
        <v>0.79</v>
      </c>
      <c r="M268">
        <v>2528</v>
      </c>
      <c r="N268">
        <v>704</v>
      </c>
    </row>
    <row r="269" spans="1:14" x14ac:dyDescent="0.25">
      <c r="A269">
        <v>268</v>
      </c>
      <c r="B269" t="s">
        <v>208</v>
      </c>
      <c r="C269" t="str">
        <f t="shared" si="4"/>
        <v>Jan</v>
      </c>
      <c r="D269">
        <f>YEAR(SalesData[[#This Row],[Date]])</f>
        <v>2024</v>
      </c>
      <c r="E269" t="s">
        <v>365</v>
      </c>
      <c r="F269" t="s">
        <v>370</v>
      </c>
      <c r="G269" t="s">
        <v>454</v>
      </c>
      <c r="H269" t="s">
        <v>477</v>
      </c>
      <c r="I269">
        <v>1008</v>
      </c>
      <c r="J269">
        <v>1.27</v>
      </c>
      <c r="K269">
        <v>1280.1600000000001</v>
      </c>
      <c r="L269">
        <v>0.91</v>
      </c>
      <c r="M269">
        <v>917.28</v>
      </c>
      <c r="N269">
        <v>362.88</v>
      </c>
    </row>
    <row r="270" spans="1:14" x14ac:dyDescent="0.25">
      <c r="A270">
        <v>269</v>
      </c>
      <c r="B270" t="s">
        <v>15</v>
      </c>
      <c r="C270" t="str">
        <f t="shared" si="4"/>
        <v>Mar</v>
      </c>
      <c r="D270">
        <f>YEAR(SalesData[[#This Row],[Date]])</f>
        <v>2024</v>
      </c>
      <c r="E270" t="s">
        <v>365</v>
      </c>
      <c r="F270" t="s">
        <v>369</v>
      </c>
      <c r="G270" t="s">
        <v>454</v>
      </c>
      <c r="H270" t="s">
        <v>488</v>
      </c>
      <c r="I270">
        <v>2916</v>
      </c>
      <c r="J270">
        <v>1.06</v>
      </c>
      <c r="K270">
        <v>3090.96</v>
      </c>
      <c r="L270">
        <v>0.69</v>
      </c>
      <c r="M270">
        <v>2012.04</v>
      </c>
      <c r="N270">
        <v>1078.92</v>
      </c>
    </row>
    <row r="271" spans="1:14" x14ac:dyDescent="0.25">
      <c r="A271">
        <v>270</v>
      </c>
      <c r="B271" t="s">
        <v>209</v>
      </c>
      <c r="C271" t="str">
        <f t="shared" si="4"/>
        <v>Mar</v>
      </c>
      <c r="D271">
        <f>YEAR(SalesData[[#This Row],[Date]])</f>
        <v>2024</v>
      </c>
      <c r="E271" t="s">
        <v>366</v>
      </c>
      <c r="F271" t="s">
        <v>369</v>
      </c>
      <c r="G271" t="s">
        <v>378</v>
      </c>
      <c r="H271" t="s">
        <v>489</v>
      </c>
      <c r="I271">
        <v>3560</v>
      </c>
      <c r="J271">
        <v>1.0900000000000001</v>
      </c>
      <c r="K271">
        <v>3880.4</v>
      </c>
      <c r="L271">
        <v>0.8</v>
      </c>
      <c r="M271">
        <v>2848</v>
      </c>
      <c r="N271">
        <v>1032.4000000000001</v>
      </c>
    </row>
    <row r="272" spans="1:14" x14ac:dyDescent="0.25">
      <c r="A272">
        <v>271</v>
      </c>
      <c r="B272" t="s">
        <v>199</v>
      </c>
      <c r="C272" t="str">
        <f t="shared" si="4"/>
        <v>Aug</v>
      </c>
      <c r="D272">
        <f>YEAR(SalesData[[#This Row],[Date]])</f>
        <v>2024</v>
      </c>
      <c r="E272" t="s">
        <v>366</v>
      </c>
      <c r="F272" t="s">
        <v>368</v>
      </c>
      <c r="G272" t="s">
        <v>411</v>
      </c>
      <c r="H272" t="s">
        <v>489</v>
      </c>
      <c r="I272">
        <v>1170</v>
      </c>
      <c r="J272">
        <v>1.17</v>
      </c>
      <c r="K272">
        <v>1368.9</v>
      </c>
      <c r="L272">
        <v>0.86</v>
      </c>
      <c r="M272">
        <v>1006.2</v>
      </c>
      <c r="N272">
        <v>362.7</v>
      </c>
    </row>
    <row r="273" spans="1:14" x14ac:dyDescent="0.25">
      <c r="A273">
        <v>272</v>
      </c>
      <c r="B273" t="s">
        <v>18</v>
      </c>
      <c r="C273" t="str">
        <f t="shared" si="4"/>
        <v>Jul</v>
      </c>
      <c r="D273">
        <f>YEAR(SalesData[[#This Row],[Date]])</f>
        <v>2024</v>
      </c>
      <c r="E273" t="s">
        <v>363</v>
      </c>
      <c r="F273" t="s">
        <v>367</v>
      </c>
      <c r="G273" t="s">
        <v>400</v>
      </c>
      <c r="H273" t="s">
        <v>476</v>
      </c>
      <c r="I273">
        <v>4640</v>
      </c>
      <c r="J273">
        <v>0.94</v>
      </c>
      <c r="K273">
        <v>4361.6000000000004</v>
      </c>
      <c r="L273">
        <v>0.69</v>
      </c>
      <c r="M273">
        <v>3201.6</v>
      </c>
      <c r="N273">
        <v>1160</v>
      </c>
    </row>
    <row r="274" spans="1:14" x14ac:dyDescent="0.25">
      <c r="A274">
        <v>273</v>
      </c>
      <c r="B274" t="s">
        <v>159</v>
      </c>
      <c r="C274" t="str">
        <f t="shared" si="4"/>
        <v>Mar</v>
      </c>
      <c r="D274">
        <f>YEAR(SalesData[[#This Row],[Date]])</f>
        <v>2024</v>
      </c>
      <c r="E274" t="s">
        <v>364</v>
      </c>
      <c r="F274" t="s">
        <v>370</v>
      </c>
      <c r="G274" t="s">
        <v>409</v>
      </c>
      <c r="H274" t="s">
        <v>485</v>
      </c>
      <c r="I274">
        <v>4504</v>
      </c>
      <c r="J274">
        <v>0.86</v>
      </c>
      <c r="K274">
        <v>3873.44</v>
      </c>
      <c r="L274">
        <v>0.63</v>
      </c>
      <c r="M274">
        <v>2837.52</v>
      </c>
      <c r="N274">
        <v>1035.92</v>
      </c>
    </row>
    <row r="275" spans="1:14" x14ac:dyDescent="0.25">
      <c r="A275">
        <v>274</v>
      </c>
      <c r="B275" t="s">
        <v>210</v>
      </c>
      <c r="C275" t="str">
        <f t="shared" si="4"/>
        <v>Jan</v>
      </c>
      <c r="D275">
        <f>YEAR(SalesData[[#This Row],[Date]])</f>
        <v>2024</v>
      </c>
      <c r="E275" t="s">
        <v>366</v>
      </c>
      <c r="F275" t="s">
        <v>369</v>
      </c>
      <c r="G275" t="s">
        <v>417</v>
      </c>
      <c r="H275" t="s">
        <v>481</v>
      </c>
      <c r="I275">
        <v>4242</v>
      </c>
      <c r="J275">
        <v>1.19</v>
      </c>
      <c r="K275">
        <v>5047.9799999999996</v>
      </c>
      <c r="L275">
        <v>0.88</v>
      </c>
      <c r="M275">
        <v>3732.96</v>
      </c>
      <c r="N275">
        <v>1315.02</v>
      </c>
    </row>
    <row r="276" spans="1:14" x14ac:dyDescent="0.25">
      <c r="A276">
        <v>275</v>
      </c>
      <c r="B276" t="s">
        <v>129</v>
      </c>
      <c r="C276" t="str">
        <f t="shared" si="4"/>
        <v>Dec</v>
      </c>
      <c r="D276">
        <f>YEAR(SalesData[[#This Row],[Date]])</f>
        <v>2024</v>
      </c>
      <c r="E276" t="s">
        <v>363</v>
      </c>
      <c r="F276" t="s">
        <v>370</v>
      </c>
      <c r="G276" t="s">
        <v>455</v>
      </c>
      <c r="H276" t="s">
        <v>471</v>
      </c>
      <c r="I276">
        <v>524</v>
      </c>
      <c r="J276">
        <v>1.32</v>
      </c>
      <c r="K276">
        <v>691.68</v>
      </c>
      <c r="L276">
        <v>0.98</v>
      </c>
      <c r="M276">
        <v>513.52</v>
      </c>
      <c r="N276">
        <v>178.16</v>
      </c>
    </row>
    <row r="277" spans="1:14" x14ac:dyDescent="0.25">
      <c r="A277">
        <v>276</v>
      </c>
      <c r="B277" t="s">
        <v>211</v>
      </c>
      <c r="C277" t="str">
        <f t="shared" si="4"/>
        <v>Jan</v>
      </c>
      <c r="D277">
        <f>YEAR(SalesData[[#This Row],[Date]])</f>
        <v>2024</v>
      </c>
      <c r="E277" t="s">
        <v>365</v>
      </c>
      <c r="F277" t="s">
        <v>369</v>
      </c>
      <c r="G277" t="s">
        <v>429</v>
      </c>
      <c r="H277" t="s">
        <v>486</v>
      </c>
      <c r="I277">
        <v>4933</v>
      </c>
      <c r="J277">
        <v>1.5</v>
      </c>
      <c r="K277">
        <v>7399.5</v>
      </c>
      <c r="L277">
        <v>1.25</v>
      </c>
      <c r="M277">
        <v>6166.25</v>
      </c>
      <c r="N277">
        <v>1233.25</v>
      </c>
    </row>
    <row r="278" spans="1:14" x14ac:dyDescent="0.25">
      <c r="A278">
        <v>277</v>
      </c>
      <c r="B278" t="s">
        <v>29</v>
      </c>
      <c r="C278" t="str">
        <f t="shared" si="4"/>
        <v>Feb</v>
      </c>
      <c r="D278">
        <f>YEAR(SalesData[[#This Row],[Date]])</f>
        <v>2024</v>
      </c>
      <c r="E278" t="s">
        <v>363</v>
      </c>
      <c r="F278" t="s">
        <v>369</v>
      </c>
      <c r="G278" t="s">
        <v>407</v>
      </c>
      <c r="H278" t="s">
        <v>481</v>
      </c>
      <c r="I278">
        <v>1974</v>
      </c>
      <c r="J278">
        <v>1.34</v>
      </c>
      <c r="K278">
        <v>2645.16</v>
      </c>
      <c r="L278">
        <v>1.06</v>
      </c>
      <c r="M278">
        <v>2092.44</v>
      </c>
      <c r="N278">
        <v>552.72</v>
      </c>
    </row>
    <row r="279" spans="1:14" x14ac:dyDescent="0.25">
      <c r="A279">
        <v>278</v>
      </c>
      <c r="B279" t="s">
        <v>45</v>
      </c>
      <c r="C279" t="str">
        <f t="shared" si="4"/>
        <v>Nov</v>
      </c>
      <c r="D279">
        <f>YEAR(SalesData[[#This Row],[Date]])</f>
        <v>2024</v>
      </c>
      <c r="E279" t="s">
        <v>365</v>
      </c>
      <c r="F279" t="s">
        <v>369</v>
      </c>
      <c r="G279" t="s">
        <v>464</v>
      </c>
      <c r="H279" t="s">
        <v>473</v>
      </c>
      <c r="I279">
        <v>3592</v>
      </c>
      <c r="J279">
        <v>1.06</v>
      </c>
      <c r="K279">
        <v>3807.52</v>
      </c>
      <c r="L279">
        <v>0.82</v>
      </c>
      <c r="M279">
        <v>2945.44</v>
      </c>
      <c r="N279">
        <v>862.08</v>
      </c>
    </row>
    <row r="280" spans="1:14" x14ac:dyDescent="0.25">
      <c r="A280">
        <v>279</v>
      </c>
      <c r="B280" t="s">
        <v>102</v>
      </c>
      <c r="C280" t="str">
        <f t="shared" si="4"/>
        <v>Dec</v>
      </c>
      <c r="D280">
        <f>YEAR(SalesData[[#This Row],[Date]])</f>
        <v>2024</v>
      </c>
      <c r="E280" t="s">
        <v>365</v>
      </c>
      <c r="F280" t="s">
        <v>368</v>
      </c>
      <c r="G280" t="s">
        <v>459</v>
      </c>
      <c r="H280" t="s">
        <v>480</v>
      </c>
      <c r="I280">
        <v>4901</v>
      </c>
      <c r="J280">
        <v>1.08</v>
      </c>
      <c r="K280">
        <v>5293.08</v>
      </c>
      <c r="L280">
        <v>0.68</v>
      </c>
      <c r="M280">
        <v>3332.68</v>
      </c>
      <c r="N280">
        <v>1960.4</v>
      </c>
    </row>
    <row r="281" spans="1:14" x14ac:dyDescent="0.25">
      <c r="A281">
        <v>280</v>
      </c>
      <c r="B281" t="s">
        <v>57</v>
      </c>
      <c r="C281" t="str">
        <f t="shared" si="4"/>
        <v>Apr</v>
      </c>
      <c r="D281">
        <f>YEAR(SalesData[[#This Row],[Date]])</f>
        <v>2024</v>
      </c>
      <c r="E281" t="s">
        <v>363</v>
      </c>
      <c r="F281" t="s">
        <v>367</v>
      </c>
      <c r="G281" t="s">
        <v>443</v>
      </c>
      <c r="H281" t="s">
        <v>473</v>
      </c>
      <c r="I281">
        <v>4960</v>
      </c>
      <c r="J281">
        <v>1.1000000000000001</v>
      </c>
      <c r="K281">
        <v>5456</v>
      </c>
      <c r="L281">
        <v>0.76</v>
      </c>
      <c r="M281">
        <v>3769.6</v>
      </c>
      <c r="N281">
        <v>1686.4</v>
      </c>
    </row>
    <row r="282" spans="1:14" x14ac:dyDescent="0.25">
      <c r="A282">
        <v>281</v>
      </c>
      <c r="B282" t="s">
        <v>32</v>
      </c>
      <c r="C282" t="str">
        <f t="shared" si="4"/>
        <v>Apr</v>
      </c>
      <c r="D282">
        <f>YEAR(SalesData[[#This Row],[Date]])</f>
        <v>2024</v>
      </c>
      <c r="E282" t="s">
        <v>364</v>
      </c>
      <c r="F282" t="s">
        <v>368</v>
      </c>
      <c r="G282" t="s">
        <v>452</v>
      </c>
      <c r="H282" t="s">
        <v>474</v>
      </c>
      <c r="I282">
        <v>2758</v>
      </c>
      <c r="J282">
        <v>0.93</v>
      </c>
      <c r="K282">
        <v>2564.94</v>
      </c>
      <c r="L282">
        <v>0.76</v>
      </c>
      <c r="M282">
        <v>2096.08</v>
      </c>
      <c r="N282">
        <v>468.86</v>
      </c>
    </row>
    <row r="283" spans="1:14" x14ac:dyDescent="0.25">
      <c r="A283">
        <v>282</v>
      </c>
      <c r="B283" t="s">
        <v>212</v>
      </c>
      <c r="C283" t="str">
        <f t="shared" si="4"/>
        <v>Feb</v>
      </c>
      <c r="D283">
        <f>YEAR(SalesData[[#This Row],[Date]])</f>
        <v>2024</v>
      </c>
      <c r="E283" t="s">
        <v>364</v>
      </c>
      <c r="F283" t="s">
        <v>367</v>
      </c>
      <c r="G283" t="s">
        <v>422</v>
      </c>
      <c r="H283" t="s">
        <v>472</v>
      </c>
      <c r="I283">
        <v>2471</v>
      </c>
      <c r="J283">
        <v>0.94</v>
      </c>
      <c r="K283">
        <v>2322.7399999999998</v>
      </c>
      <c r="L283">
        <v>0.59</v>
      </c>
      <c r="M283">
        <v>1457.89</v>
      </c>
      <c r="N283">
        <v>864.85</v>
      </c>
    </row>
    <row r="284" spans="1:14" x14ac:dyDescent="0.25">
      <c r="A284">
        <v>283</v>
      </c>
      <c r="B284" t="s">
        <v>213</v>
      </c>
      <c r="C284" t="str">
        <f t="shared" si="4"/>
        <v>Jan</v>
      </c>
      <c r="D284">
        <f>YEAR(SalesData[[#This Row],[Date]])</f>
        <v>2024</v>
      </c>
      <c r="E284" t="s">
        <v>363</v>
      </c>
      <c r="F284" t="s">
        <v>369</v>
      </c>
      <c r="G284" t="s">
        <v>391</v>
      </c>
      <c r="H284" t="s">
        <v>478</v>
      </c>
      <c r="I284">
        <v>3795</v>
      </c>
      <c r="J284">
        <v>1.1100000000000001</v>
      </c>
      <c r="K284">
        <v>4212.45</v>
      </c>
      <c r="L284">
        <v>0.82</v>
      </c>
      <c r="M284">
        <v>3111.9</v>
      </c>
      <c r="N284">
        <v>1100.55</v>
      </c>
    </row>
    <row r="285" spans="1:14" x14ac:dyDescent="0.25">
      <c r="A285">
        <v>284</v>
      </c>
      <c r="B285" t="s">
        <v>210</v>
      </c>
      <c r="C285" t="str">
        <f t="shared" si="4"/>
        <v>Jan</v>
      </c>
      <c r="D285">
        <f>YEAR(SalesData[[#This Row],[Date]])</f>
        <v>2024</v>
      </c>
      <c r="E285" t="s">
        <v>365</v>
      </c>
      <c r="F285" t="s">
        <v>368</v>
      </c>
      <c r="G285" t="s">
        <v>465</v>
      </c>
      <c r="H285" t="s">
        <v>479</v>
      </c>
      <c r="I285">
        <v>3112</v>
      </c>
      <c r="J285">
        <v>1.2</v>
      </c>
      <c r="K285">
        <v>3734.4</v>
      </c>
      <c r="L285">
        <v>0.95</v>
      </c>
      <c r="M285">
        <v>2956.4</v>
      </c>
      <c r="N285">
        <v>778</v>
      </c>
    </row>
    <row r="286" spans="1:14" x14ac:dyDescent="0.25">
      <c r="A286">
        <v>285</v>
      </c>
      <c r="B286" t="s">
        <v>65</v>
      </c>
      <c r="C286" t="str">
        <f t="shared" si="4"/>
        <v>Jun</v>
      </c>
      <c r="D286">
        <f>YEAR(SalesData[[#This Row],[Date]])</f>
        <v>2024</v>
      </c>
      <c r="E286" t="s">
        <v>365</v>
      </c>
      <c r="F286" t="s">
        <v>368</v>
      </c>
      <c r="G286" t="s">
        <v>446</v>
      </c>
      <c r="H286" t="s">
        <v>490</v>
      </c>
      <c r="I286">
        <v>2310</v>
      </c>
      <c r="J286">
        <v>1.0900000000000001</v>
      </c>
      <c r="K286">
        <v>2517.9</v>
      </c>
      <c r="L286">
        <v>0.73</v>
      </c>
      <c r="M286">
        <v>1686.3</v>
      </c>
      <c r="N286">
        <v>831.6</v>
      </c>
    </row>
    <row r="287" spans="1:14" x14ac:dyDescent="0.25">
      <c r="A287">
        <v>286</v>
      </c>
      <c r="B287" t="s">
        <v>99</v>
      </c>
      <c r="C287" t="str">
        <f t="shared" si="4"/>
        <v>Oct</v>
      </c>
      <c r="D287">
        <f>YEAR(SalesData[[#This Row],[Date]])</f>
        <v>2024</v>
      </c>
      <c r="E287" t="s">
        <v>364</v>
      </c>
      <c r="F287" t="s">
        <v>368</v>
      </c>
      <c r="G287" t="s">
        <v>421</v>
      </c>
      <c r="H287" t="s">
        <v>483</v>
      </c>
      <c r="I287">
        <v>884</v>
      </c>
      <c r="J287">
        <v>1.48</v>
      </c>
      <c r="K287">
        <v>1308.32</v>
      </c>
      <c r="L287">
        <v>1.24</v>
      </c>
      <c r="M287">
        <v>1096.1600000000001</v>
      </c>
      <c r="N287">
        <v>212.16</v>
      </c>
    </row>
    <row r="288" spans="1:14" x14ac:dyDescent="0.25">
      <c r="A288">
        <v>287</v>
      </c>
      <c r="B288" t="s">
        <v>214</v>
      </c>
      <c r="C288" t="str">
        <f t="shared" si="4"/>
        <v>Dec</v>
      </c>
      <c r="D288">
        <f>YEAR(SalesData[[#This Row],[Date]])</f>
        <v>2024</v>
      </c>
      <c r="E288" t="s">
        <v>365</v>
      </c>
      <c r="F288" t="s">
        <v>369</v>
      </c>
      <c r="G288" t="s">
        <v>429</v>
      </c>
      <c r="H288" t="s">
        <v>481</v>
      </c>
      <c r="I288">
        <v>3844</v>
      </c>
      <c r="J288">
        <v>0.9</v>
      </c>
      <c r="K288">
        <v>3459.6</v>
      </c>
      <c r="L288">
        <v>0.62</v>
      </c>
      <c r="M288">
        <v>2383.2800000000002</v>
      </c>
      <c r="N288">
        <v>1076.32</v>
      </c>
    </row>
    <row r="289" spans="1:14" x14ac:dyDescent="0.25">
      <c r="A289">
        <v>288</v>
      </c>
      <c r="B289" t="s">
        <v>215</v>
      </c>
      <c r="C289" t="str">
        <f t="shared" si="4"/>
        <v>Oct</v>
      </c>
      <c r="D289">
        <f>YEAR(SalesData[[#This Row],[Date]])</f>
        <v>2024</v>
      </c>
      <c r="E289" t="s">
        <v>366</v>
      </c>
      <c r="F289" t="s">
        <v>369</v>
      </c>
      <c r="G289" t="s">
        <v>373</v>
      </c>
      <c r="H289" t="s">
        <v>482</v>
      </c>
      <c r="I289">
        <v>1682</v>
      </c>
      <c r="J289">
        <v>1.36</v>
      </c>
      <c r="K289">
        <v>2287.52</v>
      </c>
      <c r="L289">
        <v>1.1299999999999999</v>
      </c>
      <c r="M289">
        <v>1900.66</v>
      </c>
      <c r="N289">
        <v>386.86</v>
      </c>
    </row>
    <row r="290" spans="1:14" x14ac:dyDescent="0.25">
      <c r="A290">
        <v>289</v>
      </c>
      <c r="B290" t="s">
        <v>216</v>
      </c>
      <c r="C290" t="str">
        <f t="shared" si="4"/>
        <v>Oct</v>
      </c>
      <c r="D290">
        <f>YEAR(SalesData[[#This Row],[Date]])</f>
        <v>2024</v>
      </c>
      <c r="E290" t="s">
        <v>364</v>
      </c>
      <c r="F290" t="s">
        <v>369</v>
      </c>
      <c r="G290" t="s">
        <v>421</v>
      </c>
      <c r="H290" t="s">
        <v>490</v>
      </c>
      <c r="I290">
        <v>1598</v>
      </c>
      <c r="J290">
        <v>1.07</v>
      </c>
      <c r="K290">
        <v>1709.86</v>
      </c>
      <c r="L290">
        <v>0.71</v>
      </c>
      <c r="M290">
        <v>1134.58</v>
      </c>
      <c r="N290">
        <v>575.28</v>
      </c>
    </row>
    <row r="291" spans="1:14" x14ac:dyDescent="0.25">
      <c r="A291">
        <v>290</v>
      </c>
      <c r="B291" t="s">
        <v>33</v>
      </c>
      <c r="C291" t="str">
        <f t="shared" si="4"/>
        <v>Jun</v>
      </c>
      <c r="D291">
        <f>YEAR(SalesData[[#This Row],[Date]])</f>
        <v>2024</v>
      </c>
      <c r="E291" t="s">
        <v>364</v>
      </c>
      <c r="F291" t="s">
        <v>367</v>
      </c>
      <c r="G291" t="s">
        <v>466</v>
      </c>
      <c r="H291" t="s">
        <v>486</v>
      </c>
      <c r="I291">
        <v>4887</v>
      </c>
      <c r="J291">
        <v>1.31</v>
      </c>
      <c r="K291">
        <v>6401.97</v>
      </c>
      <c r="L291">
        <v>0.85</v>
      </c>
      <c r="M291">
        <v>4153.95</v>
      </c>
      <c r="N291">
        <v>2248.02</v>
      </c>
    </row>
    <row r="292" spans="1:14" x14ac:dyDescent="0.25">
      <c r="A292">
        <v>291</v>
      </c>
      <c r="B292" t="s">
        <v>217</v>
      </c>
      <c r="C292" t="str">
        <f t="shared" si="4"/>
        <v>May</v>
      </c>
      <c r="D292">
        <f>YEAR(SalesData[[#This Row],[Date]])</f>
        <v>2024</v>
      </c>
      <c r="E292" t="s">
        <v>363</v>
      </c>
      <c r="F292" t="s">
        <v>369</v>
      </c>
      <c r="G292" t="s">
        <v>392</v>
      </c>
      <c r="H292" t="s">
        <v>485</v>
      </c>
      <c r="I292">
        <v>2277</v>
      </c>
      <c r="J292">
        <v>1.1399999999999999</v>
      </c>
      <c r="K292">
        <v>2595.7800000000002</v>
      </c>
      <c r="L292">
        <v>0.93</v>
      </c>
      <c r="M292">
        <v>2117.61</v>
      </c>
      <c r="N292">
        <v>478.17</v>
      </c>
    </row>
    <row r="293" spans="1:14" x14ac:dyDescent="0.25">
      <c r="A293">
        <v>292</v>
      </c>
      <c r="B293" t="s">
        <v>55</v>
      </c>
      <c r="C293" t="str">
        <f t="shared" si="4"/>
        <v>Jun</v>
      </c>
      <c r="D293">
        <f>YEAR(SalesData[[#This Row],[Date]])</f>
        <v>2024</v>
      </c>
      <c r="E293" t="s">
        <v>363</v>
      </c>
      <c r="F293" t="s">
        <v>370</v>
      </c>
      <c r="G293" t="s">
        <v>381</v>
      </c>
      <c r="H293" t="s">
        <v>485</v>
      </c>
      <c r="I293">
        <v>1461</v>
      </c>
      <c r="J293">
        <v>1.32</v>
      </c>
      <c r="K293">
        <v>1928.52</v>
      </c>
      <c r="L293">
        <v>1.04</v>
      </c>
      <c r="M293">
        <v>1519.44</v>
      </c>
      <c r="N293">
        <v>409.08</v>
      </c>
    </row>
    <row r="294" spans="1:14" x14ac:dyDescent="0.25">
      <c r="A294">
        <v>293</v>
      </c>
      <c r="B294" t="s">
        <v>112</v>
      </c>
      <c r="C294" t="str">
        <f t="shared" si="4"/>
        <v>May</v>
      </c>
      <c r="D294">
        <f>YEAR(SalesData[[#This Row],[Date]])</f>
        <v>2024</v>
      </c>
      <c r="E294" t="s">
        <v>364</v>
      </c>
      <c r="F294" t="s">
        <v>368</v>
      </c>
      <c r="G294" t="s">
        <v>388</v>
      </c>
      <c r="H294" t="s">
        <v>476</v>
      </c>
      <c r="I294">
        <v>3134</v>
      </c>
      <c r="J294">
        <v>1.34</v>
      </c>
      <c r="K294">
        <v>4199.5600000000004</v>
      </c>
      <c r="L294">
        <v>0.93</v>
      </c>
      <c r="M294">
        <v>2914.62</v>
      </c>
      <c r="N294">
        <v>1284.94</v>
      </c>
    </row>
    <row r="295" spans="1:14" x14ac:dyDescent="0.25">
      <c r="A295">
        <v>294</v>
      </c>
      <c r="B295" t="s">
        <v>218</v>
      </c>
      <c r="C295" t="str">
        <f t="shared" si="4"/>
        <v>Sep</v>
      </c>
      <c r="D295">
        <f>YEAR(SalesData[[#This Row],[Date]])</f>
        <v>2024</v>
      </c>
      <c r="E295" t="s">
        <v>365</v>
      </c>
      <c r="F295" t="s">
        <v>370</v>
      </c>
      <c r="G295" t="s">
        <v>382</v>
      </c>
      <c r="H295" t="s">
        <v>475</v>
      </c>
      <c r="I295">
        <v>4700</v>
      </c>
      <c r="J295">
        <v>1.42</v>
      </c>
      <c r="K295">
        <v>6674</v>
      </c>
      <c r="L295">
        <v>1.02</v>
      </c>
      <c r="M295">
        <v>4794</v>
      </c>
      <c r="N295">
        <v>1880</v>
      </c>
    </row>
    <row r="296" spans="1:14" x14ac:dyDescent="0.25">
      <c r="A296">
        <v>295</v>
      </c>
      <c r="B296" t="s">
        <v>56</v>
      </c>
      <c r="C296" t="str">
        <f t="shared" si="4"/>
        <v>Aug</v>
      </c>
      <c r="D296">
        <f>YEAR(SalesData[[#This Row],[Date]])</f>
        <v>2024</v>
      </c>
      <c r="E296" t="s">
        <v>366</v>
      </c>
      <c r="F296" t="s">
        <v>370</v>
      </c>
      <c r="G296" t="s">
        <v>466</v>
      </c>
      <c r="H296" t="s">
        <v>487</v>
      </c>
      <c r="I296">
        <v>3890</v>
      </c>
      <c r="J296">
        <v>0.83</v>
      </c>
      <c r="K296">
        <v>3228.7</v>
      </c>
      <c r="L296">
        <v>0.68</v>
      </c>
      <c r="M296">
        <v>2645.2</v>
      </c>
      <c r="N296">
        <v>583.5</v>
      </c>
    </row>
    <row r="297" spans="1:14" x14ac:dyDescent="0.25">
      <c r="A297">
        <v>296</v>
      </c>
      <c r="B297" t="s">
        <v>219</v>
      </c>
      <c r="C297" t="str">
        <f t="shared" si="4"/>
        <v>Mar</v>
      </c>
      <c r="D297">
        <f>YEAR(SalesData[[#This Row],[Date]])</f>
        <v>2024</v>
      </c>
      <c r="E297" t="s">
        <v>365</v>
      </c>
      <c r="F297" t="s">
        <v>367</v>
      </c>
      <c r="G297" t="s">
        <v>385</v>
      </c>
      <c r="H297" t="s">
        <v>479</v>
      </c>
      <c r="I297">
        <v>3920</v>
      </c>
      <c r="J297">
        <v>1.01</v>
      </c>
      <c r="K297">
        <v>3959.2</v>
      </c>
      <c r="L297">
        <v>0.66</v>
      </c>
      <c r="M297">
        <v>2587.1999999999998</v>
      </c>
      <c r="N297">
        <v>1372</v>
      </c>
    </row>
    <row r="298" spans="1:14" x14ac:dyDescent="0.25">
      <c r="A298">
        <v>297</v>
      </c>
      <c r="B298" t="s">
        <v>32</v>
      </c>
      <c r="C298" t="str">
        <f t="shared" si="4"/>
        <v>Apr</v>
      </c>
      <c r="D298">
        <f>YEAR(SalesData[[#This Row],[Date]])</f>
        <v>2024</v>
      </c>
      <c r="E298" t="s">
        <v>366</v>
      </c>
      <c r="F298" t="s">
        <v>369</v>
      </c>
      <c r="G298" t="s">
        <v>460</v>
      </c>
      <c r="H298" t="s">
        <v>476</v>
      </c>
      <c r="I298">
        <v>3265</v>
      </c>
      <c r="J298">
        <v>0.98</v>
      </c>
      <c r="K298">
        <v>3199.7</v>
      </c>
      <c r="L298">
        <v>0.79</v>
      </c>
      <c r="M298">
        <v>2579.35</v>
      </c>
      <c r="N298">
        <v>620.35</v>
      </c>
    </row>
    <row r="299" spans="1:14" x14ac:dyDescent="0.25">
      <c r="A299">
        <v>298</v>
      </c>
      <c r="B299" t="s">
        <v>220</v>
      </c>
      <c r="C299" t="str">
        <f t="shared" si="4"/>
        <v>Nov</v>
      </c>
      <c r="D299">
        <f>YEAR(SalesData[[#This Row],[Date]])</f>
        <v>2024</v>
      </c>
      <c r="E299" t="s">
        <v>364</v>
      </c>
      <c r="F299" t="s">
        <v>369</v>
      </c>
      <c r="G299" t="s">
        <v>397</v>
      </c>
      <c r="H299" t="s">
        <v>475</v>
      </c>
      <c r="I299">
        <v>1886</v>
      </c>
      <c r="J299">
        <v>0.9</v>
      </c>
      <c r="K299">
        <v>1697.4</v>
      </c>
      <c r="L299">
        <v>0.66</v>
      </c>
      <c r="M299">
        <v>1244.76</v>
      </c>
      <c r="N299">
        <v>452.64</v>
      </c>
    </row>
    <row r="300" spans="1:14" x14ac:dyDescent="0.25">
      <c r="A300">
        <v>299</v>
      </c>
      <c r="B300" t="s">
        <v>221</v>
      </c>
      <c r="C300" t="str">
        <f t="shared" si="4"/>
        <v>Apr</v>
      </c>
      <c r="D300">
        <f>YEAR(SalesData[[#This Row],[Date]])</f>
        <v>2024</v>
      </c>
      <c r="E300" t="s">
        <v>363</v>
      </c>
      <c r="F300" t="s">
        <v>367</v>
      </c>
      <c r="G300" t="s">
        <v>392</v>
      </c>
      <c r="H300" t="s">
        <v>478</v>
      </c>
      <c r="I300">
        <v>552</v>
      </c>
      <c r="J300">
        <v>1.0900000000000001</v>
      </c>
      <c r="K300">
        <v>601.67999999999995</v>
      </c>
      <c r="L300">
        <v>0.88</v>
      </c>
      <c r="M300">
        <v>485.76</v>
      </c>
      <c r="N300">
        <v>115.92</v>
      </c>
    </row>
    <row r="301" spans="1:14" x14ac:dyDescent="0.25">
      <c r="A301">
        <v>300</v>
      </c>
      <c r="B301" t="s">
        <v>222</v>
      </c>
      <c r="C301" t="str">
        <f t="shared" si="4"/>
        <v>Apr</v>
      </c>
      <c r="D301">
        <f>YEAR(SalesData[[#This Row],[Date]])</f>
        <v>2024</v>
      </c>
      <c r="E301" t="s">
        <v>366</v>
      </c>
      <c r="F301" t="s">
        <v>367</v>
      </c>
      <c r="G301" t="s">
        <v>447</v>
      </c>
      <c r="H301" t="s">
        <v>485</v>
      </c>
      <c r="I301">
        <v>4642</v>
      </c>
      <c r="J301">
        <v>1.1200000000000001</v>
      </c>
      <c r="K301">
        <v>5199.04</v>
      </c>
      <c r="L301">
        <v>0.69</v>
      </c>
      <c r="M301">
        <v>3202.98</v>
      </c>
      <c r="N301">
        <v>1996.06</v>
      </c>
    </row>
    <row r="302" spans="1:14" x14ac:dyDescent="0.25">
      <c r="A302">
        <v>301</v>
      </c>
      <c r="B302" t="s">
        <v>223</v>
      </c>
      <c r="C302" t="str">
        <f t="shared" si="4"/>
        <v>Nov</v>
      </c>
      <c r="D302">
        <f>YEAR(SalesData[[#This Row],[Date]])</f>
        <v>2024</v>
      </c>
      <c r="E302" t="s">
        <v>364</v>
      </c>
      <c r="F302" t="s">
        <v>369</v>
      </c>
      <c r="G302" t="s">
        <v>467</v>
      </c>
      <c r="H302" t="s">
        <v>472</v>
      </c>
      <c r="I302">
        <v>4859</v>
      </c>
      <c r="J302">
        <v>1.19</v>
      </c>
      <c r="K302">
        <v>5782.21</v>
      </c>
      <c r="L302">
        <v>0.72</v>
      </c>
      <c r="M302">
        <v>3498.48</v>
      </c>
      <c r="N302">
        <v>2283.73</v>
      </c>
    </row>
    <row r="303" spans="1:14" x14ac:dyDescent="0.25">
      <c r="A303">
        <v>302</v>
      </c>
      <c r="B303" t="s">
        <v>224</v>
      </c>
      <c r="C303" t="str">
        <f t="shared" si="4"/>
        <v>Sep</v>
      </c>
      <c r="D303">
        <f>YEAR(SalesData[[#This Row],[Date]])</f>
        <v>2024</v>
      </c>
      <c r="E303" t="s">
        <v>365</v>
      </c>
      <c r="F303" t="s">
        <v>370</v>
      </c>
      <c r="G303" t="s">
        <v>467</v>
      </c>
      <c r="H303" t="s">
        <v>490</v>
      </c>
      <c r="I303">
        <v>4027</v>
      </c>
      <c r="J303">
        <v>1.36</v>
      </c>
      <c r="K303">
        <v>5476.72</v>
      </c>
      <c r="L303">
        <v>1.1299999999999999</v>
      </c>
      <c r="M303">
        <v>4550.51</v>
      </c>
      <c r="N303">
        <v>926.21</v>
      </c>
    </row>
    <row r="304" spans="1:14" x14ac:dyDescent="0.25">
      <c r="A304">
        <v>303</v>
      </c>
      <c r="B304" t="s">
        <v>225</v>
      </c>
      <c r="C304" t="str">
        <f t="shared" si="4"/>
        <v>Feb</v>
      </c>
      <c r="D304">
        <f>YEAR(SalesData[[#This Row],[Date]])</f>
        <v>2024</v>
      </c>
      <c r="E304" t="s">
        <v>366</v>
      </c>
      <c r="F304" t="s">
        <v>367</v>
      </c>
      <c r="G304" t="s">
        <v>388</v>
      </c>
      <c r="H304" t="s">
        <v>485</v>
      </c>
      <c r="I304">
        <v>4812</v>
      </c>
      <c r="J304">
        <v>0.98</v>
      </c>
      <c r="K304">
        <v>4715.76</v>
      </c>
      <c r="L304">
        <v>0.67</v>
      </c>
      <c r="M304">
        <v>3224.04</v>
      </c>
      <c r="N304">
        <v>1491.72</v>
      </c>
    </row>
    <row r="305" spans="1:14" x14ac:dyDescent="0.25">
      <c r="A305">
        <v>304</v>
      </c>
      <c r="B305" t="s">
        <v>226</v>
      </c>
      <c r="C305" t="str">
        <f t="shared" si="4"/>
        <v>Jul</v>
      </c>
      <c r="D305">
        <f>YEAR(SalesData[[#This Row],[Date]])</f>
        <v>2024</v>
      </c>
      <c r="E305" t="s">
        <v>365</v>
      </c>
      <c r="F305" t="s">
        <v>367</v>
      </c>
      <c r="G305" t="s">
        <v>413</v>
      </c>
      <c r="H305" t="s">
        <v>473</v>
      </c>
      <c r="I305">
        <v>2492</v>
      </c>
      <c r="J305">
        <v>1.49</v>
      </c>
      <c r="K305">
        <v>3713.08</v>
      </c>
      <c r="L305">
        <v>0.98</v>
      </c>
      <c r="M305">
        <v>2442.16</v>
      </c>
      <c r="N305">
        <v>1270.92</v>
      </c>
    </row>
    <row r="306" spans="1:14" x14ac:dyDescent="0.25">
      <c r="A306">
        <v>305</v>
      </c>
      <c r="B306" t="s">
        <v>171</v>
      </c>
      <c r="C306" t="str">
        <f t="shared" si="4"/>
        <v>Dec</v>
      </c>
      <c r="D306">
        <f>YEAR(SalesData[[#This Row],[Date]])</f>
        <v>2024</v>
      </c>
      <c r="E306" t="s">
        <v>363</v>
      </c>
      <c r="F306" t="s">
        <v>367</v>
      </c>
      <c r="G306" t="s">
        <v>437</v>
      </c>
      <c r="H306" t="s">
        <v>484</v>
      </c>
      <c r="I306">
        <v>3606</v>
      </c>
      <c r="J306">
        <v>1.06</v>
      </c>
      <c r="K306">
        <v>3822.36</v>
      </c>
      <c r="L306">
        <v>0.76</v>
      </c>
      <c r="M306">
        <v>2740.56</v>
      </c>
      <c r="N306">
        <v>1081.8</v>
      </c>
    </row>
    <row r="307" spans="1:14" x14ac:dyDescent="0.25">
      <c r="A307">
        <v>306</v>
      </c>
      <c r="B307" t="s">
        <v>223</v>
      </c>
      <c r="C307" t="str">
        <f t="shared" si="4"/>
        <v>Nov</v>
      </c>
      <c r="D307">
        <f>YEAR(SalesData[[#This Row],[Date]])</f>
        <v>2024</v>
      </c>
      <c r="E307" t="s">
        <v>366</v>
      </c>
      <c r="F307" t="s">
        <v>367</v>
      </c>
      <c r="G307" t="s">
        <v>376</v>
      </c>
      <c r="H307" t="s">
        <v>483</v>
      </c>
      <c r="I307">
        <v>4054</v>
      </c>
      <c r="J307">
        <v>1.25</v>
      </c>
      <c r="K307">
        <v>5067.5</v>
      </c>
      <c r="L307">
        <v>0.85</v>
      </c>
      <c r="M307">
        <v>3445.9</v>
      </c>
      <c r="N307">
        <v>1621.6</v>
      </c>
    </row>
    <row r="308" spans="1:14" x14ac:dyDescent="0.25">
      <c r="A308">
        <v>307</v>
      </c>
      <c r="B308" t="s">
        <v>227</v>
      </c>
      <c r="C308" t="str">
        <f t="shared" si="4"/>
        <v>Feb</v>
      </c>
      <c r="D308">
        <f>YEAR(SalesData[[#This Row],[Date]])</f>
        <v>2024</v>
      </c>
      <c r="E308" t="s">
        <v>366</v>
      </c>
      <c r="F308" t="s">
        <v>367</v>
      </c>
      <c r="G308" t="s">
        <v>381</v>
      </c>
      <c r="H308" t="s">
        <v>479</v>
      </c>
      <c r="I308">
        <v>4395</v>
      </c>
      <c r="J308">
        <v>0.99</v>
      </c>
      <c r="K308">
        <v>4351.05</v>
      </c>
      <c r="L308">
        <v>0.82</v>
      </c>
      <c r="M308">
        <v>3603.9</v>
      </c>
      <c r="N308">
        <v>747.15</v>
      </c>
    </row>
    <row r="309" spans="1:14" x14ac:dyDescent="0.25">
      <c r="A309">
        <v>308</v>
      </c>
      <c r="B309" t="s">
        <v>171</v>
      </c>
      <c r="C309" t="str">
        <f t="shared" si="4"/>
        <v>Dec</v>
      </c>
      <c r="D309">
        <f>YEAR(SalesData[[#This Row],[Date]])</f>
        <v>2024</v>
      </c>
      <c r="E309" t="s">
        <v>363</v>
      </c>
      <c r="F309" t="s">
        <v>370</v>
      </c>
      <c r="G309" t="s">
        <v>445</v>
      </c>
      <c r="H309" t="s">
        <v>487</v>
      </c>
      <c r="I309">
        <v>628</v>
      </c>
      <c r="J309">
        <v>1.47</v>
      </c>
      <c r="K309">
        <v>923.16</v>
      </c>
      <c r="L309">
        <v>1.1000000000000001</v>
      </c>
      <c r="M309">
        <v>690.8</v>
      </c>
      <c r="N309">
        <v>232.36</v>
      </c>
    </row>
    <row r="310" spans="1:14" x14ac:dyDescent="0.25">
      <c r="A310">
        <v>309</v>
      </c>
      <c r="B310" t="s">
        <v>228</v>
      </c>
      <c r="C310" t="str">
        <f t="shared" si="4"/>
        <v>Dec</v>
      </c>
      <c r="D310">
        <f>YEAR(SalesData[[#This Row],[Date]])</f>
        <v>2024</v>
      </c>
      <c r="E310" t="s">
        <v>363</v>
      </c>
      <c r="F310" t="s">
        <v>369</v>
      </c>
      <c r="G310" t="s">
        <v>443</v>
      </c>
      <c r="H310" t="s">
        <v>480</v>
      </c>
      <c r="I310">
        <v>2469</v>
      </c>
      <c r="J310">
        <v>1.2</v>
      </c>
      <c r="K310">
        <v>2962.8</v>
      </c>
      <c r="L310">
        <v>0.97</v>
      </c>
      <c r="M310">
        <v>2394.9299999999998</v>
      </c>
      <c r="N310">
        <v>567.87</v>
      </c>
    </row>
    <row r="311" spans="1:14" x14ac:dyDescent="0.25">
      <c r="A311">
        <v>310</v>
      </c>
      <c r="B311" t="s">
        <v>13</v>
      </c>
      <c r="C311" t="str">
        <f t="shared" si="4"/>
        <v>Dec</v>
      </c>
      <c r="D311">
        <f>YEAR(SalesData[[#This Row],[Date]])</f>
        <v>2024</v>
      </c>
      <c r="E311" t="s">
        <v>364</v>
      </c>
      <c r="F311" t="s">
        <v>370</v>
      </c>
      <c r="G311" t="s">
        <v>463</v>
      </c>
      <c r="H311" t="s">
        <v>474</v>
      </c>
      <c r="I311">
        <v>1142</v>
      </c>
      <c r="J311">
        <v>1.1499999999999999</v>
      </c>
      <c r="K311">
        <v>1313.3</v>
      </c>
      <c r="L311">
        <v>0.97</v>
      </c>
      <c r="M311">
        <v>1107.74</v>
      </c>
      <c r="N311">
        <v>205.56</v>
      </c>
    </row>
    <row r="312" spans="1:14" x14ac:dyDescent="0.25">
      <c r="A312">
        <v>311</v>
      </c>
      <c r="B312" t="s">
        <v>229</v>
      </c>
      <c r="C312" t="str">
        <f t="shared" si="4"/>
        <v>Jan</v>
      </c>
      <c r="D312">
        <f>YEAR(SalesData[[#This Row],[Date]])</f>
        <v>2024</v>
      </c>
      <c r="E312" t="s">
        <v>364</v>
      </c>
      <c r="F312" t="s">
        <v>367</v>
      </c>
      <c r="G312" t="s">
        <v>465</v>
      </c>
      <c r="H312" t="s">
        <v>486</v>
      </c>
      <c r="I312">
        <v>3290</v>
      </c>
      <c r="J312">
        <v>1.22</v>
      </c>
      <c r="K312">
        <v>4013.8</v>
      </c>
      <c r="L312">
        <v>0.92</v>
      </c>
      <c r="M312">
        <v>3026.8</v>
      </c>
      <c r="N312">
        <v>987</v>
      </c>
    </row>
    <row r="313" spans="1:14" x14ac:dyDescent="0.25">
      <c r="A313">
        <v>312</v>
      </c>
      <c r="B313" t="s">
        <v>230</v>
      </c>
      <c r="C313" t="str">
        <f t="shared" si="4"/>
        <v>Oct</v>
      </c>
      <c r="D313">
        <f>YEAR(SalesData[[#This Row],[Date]])</f>
        <v>2024</v>
      </c>
      <c r="E313" t="s">
        <v>365</v>
      </c>
      <c r="F313" t="s">
        <v>369</v>
      </c>
      <c r="G313" t="s">
        <v>435</v>
      </c>
      <c r="H313" t="s">
        <v>471</v>
      </c>
      <c r="I313">
        <v>4190</v>
      </c>
      <c r="J313">
        <v>1.1399999999999999</v>
      </c>
      <c r="K313">
        <v>4776.6000000000004</v>
      </c>
      <c r="L313">
        <v>0.79</v>
      </c>
      <c r="M313">
        <v>3310.1</v>
      </c>
      <c r="N313">
        <v>1466.5</v>
      </c>
    </row>
    <row r="314" spans="1:14" x14ac:dyDescent="0.25">
      <c r="A314">
        <v>313</v>
      </c>
      <c r="B314" t="s">
        <v>200</v>
      </c>
      <c r="C314" t="str">
        <f t="shared" si="4"/>
        <v>Jul</v>
      </c>
      <c r="D314">
        <f>YEAR(SalesData[[#This Row],[Date]])</f>
        <v>2024</v>
      </c>
      <c r="E314" t="s">
        <v>366</v>
      </c>
      <c r="F314" t="s">
        <v>369</v>
      </c>
      <c r="G314" t="s">
        <v>411</v>
      </c>
      <c r="H314" t="s">
        <v>479</v>
      </c>
      <c r="I314">
        <v>3613</v>
      </c>
      <c r="J314">
        <v>0.86</v>
      </c>
      <c r="K314">
        <v>3107.18</v>
      </c>
      <c r="L314">
        <v>0.65</v>
      </c>
      <c r="M314">
        <v>2348.4499999999998</v>
      </c>
      <c r="N314">
        <v>758.73</v>
      </c>
    </row>
    <row r="315" spans="1:14" x14ac:dyDescent="0.25">
      <c r="A315">
        <v>314</v>
      </c>
      <c r="B315" t="s">
        <v>231</v>
      </c>
      <c r="C315" t="str">
        <f t="shared" si="4"/>
        <v>May</v>
      </c>
      <c r="D315">
        <f>YEAR(SalesData[[#This Row],[Date]])</f>
        <v>2024</v>
      </c>
      <c r="E315" t="s">
        <v>363</v>
      </c>
      <c r="F315" t="s">
        <v>367</v>
      </c>
      <c r="G315" t="s">
        <v>412</v>
      </c>
      <c r="H315" t="s">
        <v>474</v>
      </c>
      <c r="I315">
        <v>3612</v>
      </c>
      <c r="J315">
        <v>1.3</v>
      </c>
      <c r="K315">
        <v>4695.6000000000004</v>
      </c>
      <c r="L315">
        <v>0.99</v>
      </c>
      <c r="M315">
        <v>3575.88</v>
      </c>
      <c r="N315">
        <v>1119.72</v>
      </c>
    </row>
    <row r="316" spans="1:14" x14ac:dyDescent="0.25">
      <c r="A316">
        <v>315</v>
      </c>
      <c r="B316" t="s">
        <v>232</v>
      </c>
      <c r="C316" t="str">
        <f t="shared" si="4"/>
        <v>Jul</v>
      </c>
      <c r="D316">
        <f>YEAR(SalesData[[#This Row],[Date]])</f>
        <v>2024</v>
      </c>
      <c r="E316" t="s">
        <v>365</v>
      </c>
      <c r="F316" t="s">
        <v>370</v>
      </c>
      <c r="G316" t="s">
        <v>450</v>
      </c>
      <c r="H316" t="s">
        <v>486</v>
      </c>
      <c r="I316">
        <v>542</v>
      </c>
      <c r="J316">
        <v>1.46</v>
      </c>
      <c r="K316">
        <v>791.32</v>
      </c>
      <c r="L316">
        <v>1.04</v>
      </c>
      <c r="M316">
        <v>563.67999999999995</v>
      </c>
      <c r="N316">
        <v>227.64</v>
      </c>
    </row>
    <row r="317" spans="1:14" x14ac:dyDescent="0.25">
      <c r="A317">
        <v>316</v>
      </c>
      <c r="B317" t="s">
        <v>233</v>
      </c>
      <c r="C317" t="str">
        <f t="shared" si="4"/>
        <v>May</v>
      </c>
      <c r="D317">
        <f>YEAR(SalesData[[#This Row],[Date]])</f>
        <v>2024</v>
      </c>
      <c r="E317" t="s">
        <v>366</v>
      </c>
      <c r="F317" t="s">
        <v>367</v>
      </c>
      <c r="G317" t="s">
        <v>437</v>
      </c>
      <c r="H317" t="s">
        <v>480</v>
      </c>
      <c r="I317">
        <v>4030</v>
      </c>
      <c r="J317">
        <v>1.1100000000000001</v>
      </c>
      <c r="K317">
        <v>4473.3</v>
      </c>
      <c r="L317">
        <v>0.82</v>
      </c>
      <c r="M317">
        <v>3304.6</v>
      </c>
      <c r="N317">
        <v>1168.7</v>
      </c>
    </row>
    <row r="318" spans="1:14" x14ac:dyDescent="0.25">
      <c r="A318">
        <v>317</v>
      </c>
      <c r="B318" t="s">
        <v>54</v>
      </c>
      <c r="C318" t="str">
        <f t="shared" si="4"/>
        <v>Jul</v>
      </c>
      <c r="D318">
        <f>YEAR(SalesData[[#This Row],[Date]])</f>
        <v>2024</v>
      </c>
      <c r="E318" t="s">
        <v>363</v>
      </c>
      <c r="F318" t="s">
        <v>367</v>
      </c>
      <c r="G318" t="s">
        <v>437</v>
      </c>
      <c r="H318" t="s">
        <v>475</v>
      </c>
      <c r="I318">
        <v>1262</v>
      </c>
      <c r="J318">
        <v>1.22</v>
      </c>
      <c r="K318">
        <v>1539.64</v>
      </c>
      <c r="L318">
        <v>0.97</v>
      </c>
      <c r="M318">
        <v>1224.1400000000001</v>
      </c>
      <c r="N318">
        <v>315.5</v>
      </c>
    </row>
    <row r="319" spans="1:14" x14ac:dyDescent="0.25">
      <c r="A319">
        <v>318</v>
      </c>
      <c r="B319" t="s">
        <v>173</v>
      </c>
      <c r="C319" t="str">
        <f t="shared" si="4"/>
        <v>Jul</v>
      </c>
      <c r="D319">
        <f>YEAR(SalesData[[#This Row],[Date]])</f>
        <v>2024</v>
      </c>
      <c r="E319" t="s">
        <v>365</v>
      </c>
      <c r="F319" t="s">
        <v>367</v>
      </c>
      <c r="G319" t="s">
        <v>438</v>
      </c>
      <c r="H319" t="s">
        <v>484</v>
      </c>
      <c r="I319">
        <v>1193</v>
      </c>
      <c r="J319">
        <v>1.31</v>
      </c>
      <c r="K319">
        <v>1562.83</v>
      </c>
      <c r="L319">
        <v>0.97</v>
      </c>
      <c r="M319">
        <v>1157.21</v>
      </c>
      <c r="N319">
        <v>405.62</v>
      </c>
    </row>
    <row r="320" spans="1:14" x14ac:dyDescent="0.25">
      <c r="A320">
        <v>319</v>
      </c>
      <c r="B320" t="s">
        <v>112</v>
      </c>
      <c r="C320" t="str">
        <f t="shared" si="4"/>
        <v>May</v>
      </c>
      <c r="D320">
        <f>YEAR(SalesData[[#This Row],[Date]])</f>
        <v>2024</v>
      </c>
      <c r="E320" t="s">
        <v>364</v>
      </c>
      <c r="F320" t="s">
        <v>368</v>
      </c>
      <c r="G320" t="s">
        <v>397</v>
      </c>
      <c r="H320" t="s">
        <v>474</v>
      </c>
      <c r="I320">
        <v>2702</v>
      </c>
      <c r="J320">
        <v>1.01</v>
      </c>
      <c r="K320">
        <v>2729.02</v>
      </c>
      <c r="L320">
        <v>0.73</v>
      </c>
      <c r="M320">
        <v>1972.46</v>
      </c>
      <c r="N320">
        <v>756.56</v>
      </c>
    </row>
    <row r="321" spans="1:14" x14ac:dyDescent="0.25">
      <c r="A321">
        <v>320</v>
      </c>
      <c r="B321" t="s">
        <v>74</v>
      </c>
      <c r="C321" t="str">
        <f t="shared" si="4"/>
        <v>Feb</v>
      </c>
      <c r="D321">
        <f>YEAR(SalesData[[#This Row],[Date]])</f>
        <v>2024</v>
      </c>
      <c r="E321" t="s">
        <v>364</v>
      </c>
      <c r="F321" t="s">
        <v>368</v>
      </c>
      <c r="G321" t="s">
        <v>374</v>
      </c>
      <c r="H321" t="s">
        <v>481</v>
      </c>
      <c r="I321">
        <v>2955</v>
      </c>
      <c r="J321">
        <v>1.1399999999999999</v>
      </c>
      <c r="K321">
        <v>3368.7</v>
      </c>
      <c r="L321">
        <v>0.71</v>
      </c>
      <c r="M321">
        <v>2098.0500000000002</v>
      </c>
      <c r="N321">
        <v>1270.6500000000001</v>
      </c>
    </row>
    <row r="322" spans="1:14" x14ac:dyDescent="0.25">
      <c r="A322">
        <v>321</v>
      </c>
      <c r="B322" t="s">
        <v>234</v>
      </c>
      <c r="C322" t="str">
        <f t="shared" ref="C322:C385" si="5">TEXT(B322,"mmm")</f>
        <v>May</v>
      </c>
      <c r="D322">
        <f>YEAR(SalesData[[#This Row],[Date]])</f>
        <v>2024</v>
      </c>
      <c r="E322" t="s">
        <v>364</v>
      </c>
      <c r="F322" t="s">
        <v>368</v>
      </c>
      <c r="G322" t="s">
        <v>448</v>
      </c>
      <c r="H322" t="s">
        <v>489</v>
      </c>
      <c r="I322">
        <v>2101</v>
      </c>
      <c r="J322">
        <v>1.1200000000000001</v>
      </c>
      <c r="K322">
        <v>2353.12</v>
      </c>
      <c r="L322">
        <v>0.71</v>
      </c>
      <c r="M322">
        <v>1491.71</v>
      </c>
      <c r="N322">
        <v>861.41</v>
      </c>
    </row>
    <row r="323" spans="1:14" x14ac:dyDescent="0.25">
      <c r="A323">
        <v>322</v>
      </c>
      <c r="B323" t="s">
        <v>235</v>
      </c>
      <c r="C323" t="str">
        <f t="shared" si="5"/>
        <v>Jan</v>
      </c>
      <c r="D323">
        <f>YEAR(SalesData[[#This Row],[Date]])</f>
        <v>2024</v>
      </c>
      <c r="E323" t="s">
        <v>365</v>
      </c>
      <c r="F323" t="s">
        <v>369</v>
      </c>
      <c r="G323" t="s">
        <v>402</v>
      </c>
      <c r="H323" t="s">
        <v>484</v>
      </c>
      <c r="I323">
        <v>3199</v>
      </c>
      <c r="J323">
        <v>1.1100000000000001</v>
      </c>
      <c r="K323">
        <v>3550.89</v>
      </c>
      <c r="L323">
        <v>0.79</v>
      </c>
      <c r="M323">
        <v>2527.21</v>
      </c>
      <c r="N323">
        <v>1023.68</v>
      </c>
    </row>
    <row r="324" spans="1:14" x14ac:dyDescent="0.25">
      <c r="A324">
        <v>323</v>
      </c>
      <c r="B324" t="s">
        <v>115</v>
      </c>
      <c r="C324" t="str">
        <f t="shared" si="5"/>
        <v>Nov</v>
      </c>
      <c r="D324">
        <f>YEAR(SalesData[[#This Row],[Date]])</f>
        <v>2024</v>
      </c>
      <c r="E324" t="s">
        <v>365</v>
      </c>
      <c r="F324" t="s">
        <v>368</v>
      </c>
      <c r="G324" t="s">
        <v>441</v>
      </c>
      <c r="H324" t="s">
        <v>489</v>
      </c>
      <c r="I324">
        <v>2145</v>
      </c>
      <c r="J324">
        <v>1.1399999999999999</v>
      </c>
      <c r="K324">
        <v>2445.3000000000002</v>
      </c>
      <c r="L324">
        <v>0.73</v>
      </c>
      <c r="M324">
        <v>1565.85</v>
      </c>
      <c r="N324">
        <v>879.45</v>
      </c>
    </row>
    <row r="325" spans="1:14" x14ac:dyDescent="0.25">
      <c r="A325">
        <v>324</v>
      </c>
      <c r="B325" t="s">
        <v>226</v>
      </c>
      <c r="C325" t="str">
        <f t="shared" si="5"/>
        <v>Jul</v>
      </c>
      <c r="D325">
        <f>YEAR(SalesData[[#This Row],[Date]])</f>
        <v>2024</v>
      </c>
      <c r="E325" t="s">
        <v>365</v>
      </c>
      <c r="F325" t="s">
        <v>370</v>
      </c>
      <c r="G325" t="s">
        <v>371</v>
      </c>
      <c r="H325" t="s">
        <v>483</v>
      </c>
      <c r="I325">
        <v>2485</v>
      </c>
      <c r="J325">
        <v>1.03</v>
      </c>
      <c r="K325">
        <v>2559.5500000000002</v>
      </c>
      <c r="L325">
        <v>0.69</v>
      </c>
      <c r="M325">
        <v>1714.65</v>
      </c>
      <c r="N325">
        <v>844.9</v>
      </c>
    </row>
    <row r="326" spans="1:14" x14ac:dyDescent="0.25">
      <c r="A326">
        <v>325</v>
      </c>
      <c r="B326" t="s">
        <v>236</v>
      </c>
      <c r="C326" t="str">
        <f t="shared" si="5"/>
        <v>Jul</v>
      </c>
      <c r="D326">
        <f>YEAR(SalesData[[#This Row],[Date]])</f>
        <v>2024</v>
      </c>
      <c r="E326" t="s">
        <v>363</v>
      </c>
      <c r="F326" t="s">
        <v>370</v>
      </c>
      <c r="G326" t="s">
        <v>433</v>
      </c>
      <c r="H326" t="s">
        <v>485</v>
      </c>
      <c r="I326">
        <v>4969</v>
      </c>
      <c r="J326">
        <v>0.93</v>
      </c>
      <c r="K326">
        <v>4621.17</v>
      </c>
      <c r="L326">
        <v>0.74</v>
      </c>
      <c r="M326">
        <v>3677.06</v>
      </c>
      <c r="N326">
        <v>944.11</v>
      </c>
    </row>
    <row r="327" spans="1:14" x14ac:dyDescent="0.25">
      <c r="A327">
        <v>326</v>
      </c>
      <c r="B327" t="s">
        <v>14</v>
      </c>
      <c r="C327" t="str">
        <f t="shared" si="5"/>
        <v>Jan</v>
      </c>
      <c r="D327">
        <f>YEAR(SalesData[[#This Row],[Date]])</f>
        <v>2024</v>
      </c>
      <c r="E327" t="s">
        <v>366</v>
      </c>
      <c r="F327" t="s">
        <v>369</v>
      </c>
      <c r="G327" t="s">
        <v>396</v>
      </c>
      <c r="H327" t="s">
        <v>482</v>
      </c>
      <c r="I327">
        <v>1066</v>
      </c>
      <c r="J327">
        <v>1.37</v>
      </c>
      <c r="K327">
        <v>1460.42</v>
      </c>
      <c r="L327">
        <v>1.0900000000000001</v>
      </c>
      <c r="M327">
        <v>1161.94</v>
      </c>
      <c r="N327">
        <v>298.48</v>
      </c>
    </row>
    <row r="328" spans="1:14" x14ac:dyDescent="0.25">
      <c r="A328">
        <v>327</v>
      </c>
      <c r="B328" t="s">
        <v>131</v>
      </c>
      <c r="C328" t="str">
        <f t="shared" si="5"/>
        <v>Jul</v>
      </c>
      <c r="D328">
        <f>YEAR(SalesData[[#This Row],[Date]])</f>
        <v>2024</v>
      </c>
      <c r="E328" t="s">
        <v>366</v>
      </c>
      <c r="F328" t="s">
        <v>369</v>
      </c>
      <c r="G328" t="s">
        <v>436</v>
      </c>
      <c r="H328" t="s">
        <v>482</v>
      </c>
      <c r="I328">
        <v>2482</v>
      </c>
      <c r="J328">
        <v>0.98</v>
      </c>
      <c r="K328">
        <v>2432.36</v>
      </c>
      <c r="L328">
        <v>0.63</v>
      </c>
      <c r="M328">
        <v>1563.66</v>
      </c>
      <c r="N328">
        <v>868.7</v>
      </c>
    </row>
    <row r="329" spans="1:14" x14ac:dyDescent="0.25">
      <c r="A329">
        <v>328</v>
      </c>
      <c r="B329" t="s">
        <v>30</v>
      </c>
      <c r="C329" t="str">
        <f t="shared" si="5"/>
        <v>Aug</v>
      </c>
      <c r="D329">
        <f>YEAR(SalesData[[#This Row],[Date]])</f>
        <v>2024</v>
      </c>
      <c r="E329" t="s">
        <v>363</v>
      </c>
      <c r="F329" t="s">
        <v>369</v>
      </c>
      <c r="G329" t="s">
        <v>434</v>
      </c>
      <c r="H329" t="s">
        <v>489</v>
      </c>
      <c r="I329">
        <v>4425</v>
      </c>
      <c r="J329">
        <v>1.21</v>
      </c>
      <c r="K329">
        <v>5354.25</v>
      </c>
      <c r="L329">
        <v>0.89</v>
      </c>
      <c r="M329">
        <v>3938.25</v>
      </c>
      <c r="N329">
        <v>1416</v>
      </c>
    </row>
    <row r="330" spans="1:14" x14ac:dyDescent="0.25">
      <c r="A330">
        <v>329</v>
      </c>
      <c r="B330" t="s">
        <v>237</v>
      </c>
      <c r="C330" t="str">
        <f t="shared" si="5"/>
        <v>Dec</v>
      </c>
      <c r="D330">
        <f>YEAR(SalesData[[#This Row],[Date]])</f>
        <v>2024</v>
      </c>
      <c r="E330" t="s">
        <v>363</v>
      </c>
      <c r="F330" t="s">
        <v>369</v>
      </c>
      <c r="G330" t="s">
        <v>383</v>
      </c>
      <c r="H330" t="s">
        <v>476</v>
      </c>
      <c r="I330">
        <v>1196</v>
      </c>
      <c r="J330">
        <v>0.88</v>
      </c>
      <c r="K330">
        <v>1052.48</v>
      </c>
      <c r="L330">
        <v>0.57999999999999996</v>
      </c>
      <c r="M330">
        <v>693.68</v>
      </c>
      <c r="N330">
        <v>358.8</v>
      </c>
    </row>
    <row r="331" spans="1:14" x14ac:dyDescent="0.25">
      <c r="A331">
        <v>330</v>
      </c>
      <c r="B331" t="s">
        <v>169</v>
      </c>
      <c r="C331" t="str">
        <f t="shared" si="5"/>
        <v>Dec</v>
      </c>
      <c r="D331">
        <f>YEAR(SalesData[[#This Row],[Date]])</f>
        <v>2024</v>
      </c>
      <c r="E331" t="s">
        <v>366</v>
      </c>
      <c r="F331" t="s">
        <v>370</v>
      </c>
      <c r="G331" t="s">
        <v>431</v>
      </c>
      <c r="H331" t="s">
        <v>489</v>
      </c>
      <c r="I331">
        <v>862</v>
      </c>
      <c r="J331">
        <v>1.19</v>
      </c>
      <c r="K331">
        <v>1025.78</v>
      </c>
      <c r="L331">
        <v>0.91</v>
      </c>
      <c r="M331">
        <v>784.42</v>
      </c>
      <c r="N331">
        <v>241.36</v>
      </c>
    </row>
    <row r="332" spans="1:14" x14ac:dyDescent="0.25">
      <c r="A332">
        <v>331</v>
      </c>
      <c r="B332" t="s">
        <v>238</v>
      </c>
      <c r="C332" t="str">
        <f t="shared" si="5"/>
        <v>Nov</v>
      </c>
      <c r="D332">
        <f>YEAR(SalesData[[#This Row],[Date]])</f>
        <v>2024</v>
      </c>
      <c r="E332" t="s">
        <v>365</v>
      </c>
      <c r="F332" t="s">
        <v>369</v>
      </c>
      <c r="G332" t="s">
        <v>416</v>
      </c>
      <c r="H332" t="s">
        <v>488</v>
      </c>
      <c r="I332">
        <v>586</v>
      </c>
      <c r="J332">
        <v>0.87</v>
      </c>
      <c r="K332">
        <v>509.82</v>
      </c>
      <c r="L332">
        <v>0.56999999999999995</v>
      </c>
      <c r="M332">
        <v>334.02</v>
      </c>
      <c r="N332">
        <v>175.8</v>
      </c>
    </row>
    <row r="333" spans="1:14" x14ac:dyDescent="0.25">
      <c r="A333">
        <v>332</v>
      </c>
      <c r="B333" t="s">
        <v>239</v>
      </c>
      <c r="C333" t="str">
        <f t="shared" si="5"/>
        <v>Sep</v>
      </c>
      <c r="D333">
        <f>YEAR(SalesData[[#This Row],[Date]])</f>
        <v>2024</v>
      </c>
      <c r="E333" t="s">
        <v>364</v>
      </c>
      <c r="F333" t="s">
        <v>368</v>
      </c>
      <c r="G333" t="s">
        <v>466</v>
      </c>
      <c r="H333" t="s">
        <v>484</v>
      </c>
      <c r="I333">
        <v>4293</v>
      </c>
      <c r="J333">
        <v>1.34</v>
      </c>
      <c r="K333">
        <v>5752.62</v>
      </c>
      <c r="L333">
        <v>1</v>
      </c>
      <c r="M333">
        <v>4293</v>
      </c>
      <c r="N333">
        <v>1459.62</v>
      </c>
    </row>
    <row r="334" spans="1:14" x14ac:dyDescent="0.25">
      <c r="A334">
        <v>333</v>
      </c>
      <c r="B334" t="s">
        <v>240</v>
      </c>
      <c r="C334" t="str">
        <f t="shared" si="5"/>
        <v>Sep</v>
      </c>
      <c r="D334">
        <f>YEAR(SalesData[[#This Row],[Date]])</f>
        <v>2024</v>
      </c>
      <c r="E334" t="s">
        <v>365</v>
      </c>
      <c r="F334" t="s">
        <v>368</v>
      </c>
      <c r="G334" t="s">
        <v>435</v>
      </c>
      <c r="H334" t="s">
        <v>483</v>
      </c>
      <c r="I334">
        <v>1356</v>
      </c>
      <c r="J334">
        <v>1.01</v>
      </c>
      <c r="K334">
        <v>1369.56</v>
      </c>
      <c r="L334">
        <v>0.84</v>
      </c>
      <c r="M334">
        <v>1139.04</v>
      </c>
      <c r="N334">
        <v>230.52</v>
      </c>
    </row>
    <row r="335" spans="1:14" x14ac:dyDescent="0.25">
      <c r="A335">
        <v>334</v>
      </c>
      <c r="B335" t="s">
        <v>241</v>
      </c>
      <c r="C335" t="str">
        <f t="shared" si="5"/>
        <v>Feb</v>
      </c>
      <c r="D335">
        <f>YEAR(SalesData[[#This Row],[Date]])</f>
        <v>2024</v>
      </c>
      <c r="E335" t="s">
        <v>366</v>
      </c>
      <c r="F335" t="s">
        <v>367</v>
      </c>
      <c r="G335" t="s">
        <v>452</v>
      </c>
      <c r="H335" t="s">
        <v>482</v>
      </c>
      <c r="I335">
        <v>3310</v>
      </c>
      <c r="J335">
        <v>1.1200000000000001</v>
      </c>
      <c r="K335">
        <v>3707.2</v>
      </c>
      <c r="L335">
        <v>0.73</v>
      </c>
      <c r="M335">
        <v>2416.3000000000002</v>
      </c>
      <c r="N335">
        <v>1290.9000000000001</v>
      </c>
    </row>
    <row r="336" spans="1:14" x14ac:dyDescent="0.25">
      <c r="A336">
        <v>335</v>
      </c>
      <c r="B336" t="s">
        <v>242</v>
      </c>
      <c r="C336" t="str">
        <f t="shared" si="5"/>
        <v>Sep</v>
      </c>
      <c r="D336">
        <f>YEAR(SalesData[[#This Row],[Date]])</f>
        <v>2024</v>
      </c>
      <c r="E336" t="s">
        <v>364</v>
      </c>
      <c r="F336" t="s">
        <v>370</v>
      </c>
      <c r="G336" t="s">
        <v>462</v>
      </c>
      <c r="H336" t="s">
        <v>473</v>
      </c>
      <c r="I336">
        <v>4206</v>
      </c>
      <c r="J336">
        <v>1.02</v>
      </c>
      <c r="K336">
        <v>4290.12</v>
      </c>
      <c r="L336">
        <v>0.69</v>
      </c>
      <c r="M336">
        <v>2902.14</v>
      </c>
      <c r="N336">
        <v>1387.98</v>
      </c>
    </row>
    <row r="337" spans="1:14" x14ac:dyDescent="0.25">
      <c r="A337">
        <v>336</v>
      </c>
      <c r="B337" t="s">
        <v>187</v>
      </c>
      <c r="C337" t="str">
        <f t="shared" si="5"/>
        <v>Dec</v>
      </c>
      <c r="D337">
        <f>YEAR(SalesData[[#This Row],[Date]])</f>
        <v>2024</v>
      </c>
      <c r="E337" t="s">
        <v>363</v>
      </c>
      <c r="F337" t="s">
        <v>367</v>
      </c>
      <c r="G337" t="s">
        <v>425</v>
      </c>
      <c r="H337" t="s">
        <v>488</v>
      </c>
      <c r="I337">
        <v>1846</v>
      </c>
      <c r="J337">
        <v>1.45</v>
      </c>
      <c r="K337">
        <v>2676.7</v>
      </c>
      <c r="L337">
        <v>1.1399999999999999</v>
      </c>
      <c r="M337">
        <v>2104.44</v>
      </c>
      <c r="N337">
        <v>572.26</v>
      </c>
    </row>
    <row r="338" spans="1:14" x14ac:dyDescent="0.25">
      <c r="A338">
        <v>337</v>
      </c>
      <c r="B338" t="s">
        <v>162</v>
      </c>
      <c r="C338" t="str">
        <f t="shared" si="5"/>
        <v>Sep</v>
      </c>
      <c r="D338">
        <f>YEAR(SalesData[[#This Row],[Date]])</f>
        <v>2024</v>
      </c>
      <c r="E338" t="s">
        <v>366</v>
      </c>
      <c r="F338" t="s">
        <v>368</v>
      </c>
      <c r="G338" t="s">
        <v>423</v>
      </c>
      <c r="H338" t="s">
        <v>476</v>
      </c>
      <c r="I338">
        <v>3992</v>
      </c>
      <c r="J338">
        <v>1.47</v>
      </c>
      <c r="K338">
        <v>5868.24</v>
      </c>
      <c r="L338">
        <v>0.97</v>
      </c>
      <c r="M338">
        <v>3872.24</v>
      </c>
      <c r="N338">
        <v>1996</v>
      </c>
    </row>
    <row r="339" spans="1:14" x14ac:dyDescent="0.25">
      <c r="A339">
        <v>338</v>
      </c>
      <c r="B339" t="s">
        <v>243</v>
      </c>
      <c r="C339" t="str">
        <f t="shared" si="5"/>
        <v>Jul</v>
      </c>
      <c r="D339">
        <f>YEAR(SalesData[[#This Row],[Date]])</f>
        <v>2024</v>
      </c>
      <c r="E339" t="s">
        <v>366</v>
      </c>
      <c r="F339" t="s">
        <v>368</v>
      </c>
      <c r="G339" t="s">
        <v>436</v>
      </c>
      <c r="H339" t="s">
        <v>481</v>
      </c>
      <c r="I339">
        <v>3740</v>
      </c>
      <c r="J339">
        <v>0.82</v>
      </c>
      <c r="K339">
        <v>3066.8</v>
      </c>
      <c r="L339">
        <v>0.62</v>
      </c>
      <c r="M339">
        <v>2318.8000000000002</v>
      </c>
      <c r="N339">
        <v>748</v>
      </c>
    </row>
    <row r="340" spans="1:14" x14ac:dyDescent="0.25">
      <c r="A340">
        <v>339</v>
      </c>
      <c r="B340" t="s">
        <v>244</v>
      </c>
      <c r="C340" t="str">
        <f t="shared" si="5"/>
        <v>Apr</v>
      </c>
      <c r="D340">
        <f>YEAR(SalesData[[#This Row],[Date]])</f>
        <v>2024</v>
      </c>
      <c r="E340" t="s">
        <v>364</v>
      </c>
      <c r="F340" t="s">
        <v>369</v>
      </c>
      <c r="G340" t="s">
        <v>440</v>
      </c>
      <c r="H340" t="s">
        <v>472</v>
      </c>
      <c r="I340">
        <v>2259</v>
      </c>
      <c r="J340">
        <v>0.94</v>
      </c>
      <c r="K340">
        <v>2123.46</v>
      </c>
      <c r="L340">
        <v>0.74</v>
      </c>
      <c r="M340">
        <v>1671.66</v>
      </c>
      <c r="N340">
        <v>451.8</v>
      </c>
    </row>
    <row r="341" spans="1:14" x14ac:dyDescent="0.25">
      <c r="A341">
        <v>340</v>
      </c>
      <c r="B341" t="s">
        <v>74</v>
      </c>
      <c r="C341" t="str">
        <f t="shared" si="5"/>
        <v>Feb</v>
      </c>
      <c r="D341">
        <f>YEAR(SalesData[[#This Row],[Date]])</f>
        <v>2024</v>
      </c>
      <c r="E341" t="s">
        <v>366</v>
      </c>
      <c r="F341" t="s">
        <v>367</v>
      </c>
      <c r="G341" t="s">
        <v>383</v>
      </c>
      <c r="H341" t="s">
        <v>487</v>
      </c>
      <c r="I341">
        <v>2114</v>
      </c>
      <c r="J341">
        <v>1.1200000000000001</v>
      </c>
      <c r="K341">
        <v>2367.6799999999998</v>
      </c>
      <c r="L341">
        <v>0.75</v>
      </c>
      <c r="M341">
        <v>1585.5</v>
      </c>
      <c r="N341">
        <v>782.18</v>
      </c>
    </row>
    <row r="342" spans="1:14" x14ac:dyDescent="0.25">
      <c r="A342">
        <v>341</v>
      </c>
      <c r="B342" t="s">
        <v>245</v>
      </c>
      <c r="C342" t="str">
        <f t="shared" si="5"/>
        <v>Sep</v>
      </c>
      <c r="D342">
        <f>YEAR(SalesData[[#This Row],[Date]])</f>
        <v>2024</v>
      </c>
      <c r="E342" t="s">
        <v>364</v>
      </c>
      <c r="F342" t="s">
        <v>370</v>
      </c>
      <c r="G342" t="s">
        <v>422</v>
      </c>
      <c r="H342" t="s">
        <v>484</v>
      </c>
      <c r="I342">
        <v>1435</v>
      </c>
      <c r="J342">
        <v>1.04</v>
      </c>
      <c r="K342">
        <v>1492.4</v>
      </c>
      <c r="L342">
        <v>0.84</v>
      </c>
      <c r="M342">
        <v>1205.4000000000001</v>
      </c>
      <c r="N342">
        <v>287</v>
      </c>
    </row>
    <row r="343" spans="1:14" x14ac:dyDescent="0.25">
      <c r="A343">
        <v>342</v>
      </c>
      <c r="B343" t="s">
        <v>145</v>
      </c>
      <c r="C343" t="str">
        <f t="shared" si="5"/>
        <v>Nov</v>
      </c>
      <c r="D343">
        <f>YEAR(SalesData[[#This Row],[Date]])</f>
        <v>2024</v>
      </c>
      <c r="E343" t="s">
        <v>365</v>
      </c>
      <c r="F343" t="s">
        <v>368</v>
      </c>
      <c r="G343" t="s">
        <v>422</v>
      </c>
      <c r="H343" t="s">
        <v>479</v>
      </c>
      <c r="I343">
        <v>1194</v>
      </c>
      <c r="J343">
        <v>1.27</v>
      </c>
      <c r="K343">
        <v>1516.38</v>
      </c>
      <c r="L343">
        <v>0.86</v>
      </c>
      <c r="M343">
        <v>1026.8399999999999</v>
      </c>
      <c r="N343">
        <v>489.54</v>
      </c>
    </row>
    <row r="344" spans="1:14" x14ac:dyDescent="0.25">
      <c r="A344">
        <v>343</v>
      </c>
      <c r="B344" t="s">
        <v>246</v>
      </c>
      <c r="C344" t="str">
        <f t="shared" si="5"/>
        <v>May</v>
      </c>
      <c r="D344">
        <f>YEAR(SalesData[[#This Row],[Date]])</f>
        <v>2024</v>
      </c>
      <c r="E344" t="s">
        <v>363</v>
      </c>
      <c r="F344" t="s">
        <v>370</v>
      </c>
      <c r="G344" t="s">
        <v>401</v>
      </c>
      <c r="H344" t="s">
        <v>475</v>
      </c>
      <c r="I344">
        <v>1658</v>
      </c>
      <c r="J344">
        <v>1.1599999999999999</v>
      </c>
      <c r="K344">
        <v>1923.28</v>
      </c>
      <c r="L344">
        <v>0.82</v>
      </c>
      <c r="M344">
        <v>1359.56</v>
      </c>
      <c r="N344">
        <v>563.72</v>
      </c>
    </row>
    <row r="345" spans="1:14" x14ac:dyDescent="0.25">
      <c r="A345">
        <v>344</v>
      </c>
      <c r="B345" t="s">
        <v>195</v>
      </c>
      <c r="C345" t="str">
        <f t="shared" si="5"/>
        <v>Mar</v>
      </c>
      <c r="D345">
        <f>YEAR(SalesData[[#This Row],[Date]])</f>
        <v>2024</v>
      </c>
      <c r="E345" t="s">
        <v>364</v>
      </c>
      <c r="F345" t="s">
        <v>369</v>
      </c>
      <c r="G345" t="s">
        <v>401</v>
      </c>
      <c r="H345" t="s">
        <v>483</v>
      </c>
      <c r="I345">
        <v>4902</v>
      </c>
      <c r="J345">
        <v>1.29</v>
      </c>
      <c r="K345">
        <v>6323.58</v>
      </c>
      <c r="L345">
        <v>0.98</v>
      </c>
      <c r="M345">
        <v>4803.96</v>
      </c>
      <c r="N345">
        <v>1519.62</v>
      </c>
    </row>
    <row r="346" spans="1:14" x14ac:dyDescent="0.25">
      <c r="A346">
        <v>345</v>
      </c>
      <c r="B346" t="s">
        <v>247</v>
      </c>
      <c r="C346" t="str">
        <f t="shared" si="5"/>
        <v>Mar</v>
      </c>
      <c r="D346">
        <f>YEAR(SalesData[[#This Row],[Date]])</f>
        <v>2024</v>
      </c>
      <c r="E346" t="s">
        <v>364</v>
      </c>
      <c r="F346" t="s">
        <v>368</v>
      </c>
      <c r="G346" t="s">
        <v>407</v>
      </c>
      <c r="H346" t="s">
        <v>474</v>
      </c>
      <c r="I346">
        <v>2032</v>
      </c>
      <c r="J346">
        <v>1.02</v>
      </c>
      <c r="K346">
        <v>2072.64</v>
      </c>
      <c r="L346">
        <v>0.73</v>
      </c>
      <c r="M346">
        <v>1483.36</v>
      </c>
      <c r="N346">
        <v>589.28</v>
      </c>
    </row>
    <row r="347" spans="1:14" x14ac:dyDescent="0.25">
      <c r="A347">
        <v>346</v>
      </c>
      <c r="B347" t="s">
        <v>229</v>
      </c>
      <c r="C347" t="str">
        <f t="shared" si="5"/>
        <v>Jan</v>
      </c>
      <c r="D347">
        <f>YEAR(SalesData[[#This Row],[Date]])</f>
        <v>2024</v>
      </c>
      <c r="E347" t="s">
        <v>363</v>
      </c>
      <c r="F347" t="s">
        <v>370</v>
      </c>
      <c r="G347" t="s">
        <v>387</v>
      </c>
      <c r="H347" t="s">
        <v>474</v>
      </c>
      <c r="I347">
        <v>2098</v>
      </c>
      <c r="J347">
        <v>1.37</v>
      </c>
      <c r="K347">
        <v>2874.26</v>
      </c>
      <c r="L347">
        <v>1.1499999999999999</v>
      </c>
      <c r="M347">
        <v>2412.6999999999998</v>
      </c>
      <c r="N347">
        <v>461.56</v>
      </c>
    </row>
    <row r="348" spans="1:14" x14ac:dyDescent="0.25">
      <c r="A348">
        <v>347</v>
      </c>
      <c r="B348" t="s">
        <v>248</v>
      </c>
      <c r="C348" t="str">
        <f t="shared" si="5"/>
        <v>Sep</v>
      </c>
      <c r="D348">
        <f>YEAR(SalesData[[#This Row],[Date]])</f>
        <v>2024</v>
      </c>
      <c r="E348" t="s">
        <v>364</v>
      </c>
      <c r="F348" t="s">
        <v>369</v>
      </c>
      <c r="G348" t="s">
        <v>411</v>
      </c>
      <c r="H348" t="s">
        <v>483</v>
      </c>
      <c r="I348">
        <v>3904</v>
      </c>
      <c r="J348">
        <v>1.3</v>
      </c>
      <c r="K348">
        <v>5075.2</v>
      </c>
      <c r="L348">
        <v>0.92</v>
      </c>
      <c r="M348">
        <v>3591.68</v>
      </c>
      <c r="N348">
        <v>1483.52</v>
      </c>
    </row>
    <row r="349" spans="1:14" x14ac:dyDescent="0.25">
      <c r="A349">
        <v>348</v>
      </c>
      <c r="B349" t="s">
        <v>249</v>
      </c>
      <c r="C349" t="str">
        <f t="shared" si="5"/>
        <v>Mar</v>
      </c>
      <c r="D349">
        <f>YEAR(SalesData[[#This Row],[Date]])</f>
        <v>2024</v>
      </c>
      <c r="E349" t="s">
        <v>363</v>
      </c>
      <c r="F349" t="s">
        <v>367</v>
      </c>
      <c r="G349" t="s">
        <v>424</v>
      </c>
      <c r="H349" t="s">
        <v>477</v>
      </c>
      <c r="I349">
        <v>2892</v>
      </c>
      <c r="J349">
        <v>0.82</v>
      </c>
      <c r="K349">
        <v>2371.44</v>
      </c>
      <c r="L349">
        <v>0.54</v>
      </c>
      <c r="M349">
        <v>1561.68</v>
      </c>
      <c r="N349">
        <v>809.76</v>
      </c>
    </row>
    <row r="350" spans="1:14" x14ac:dyDescent="0.25">
      <c r="A350">
        <v>349</v>
      </c>
      <c r="B350" t="s">
        <v>203</v>
      </c>
      <c r="C350" t="str">
        <f t="shared" si="5"/>
        <v>May</v>
      </c>
      <c r="D350">
        <f>YEAR(SalesData[[#This Row],[Date]])</f>
        <v>2024</v>
      </c>
      <c r="E350" t="s">
        <v>364</v>
      </c>
      <c r="F350" t="s">
        <v>368</v>
      </c>
      <c r="G350" t="s">
        <v>433</v>
      </c>
      <c r="H350" t="s">
        <v>483</v>
      </c>
      <c r="I350">
        <v>4684</v>
      </c>
      <c r="J350">
        <v>0.88</v>
      </c>
      <c r="K350">
        <v>4121.92</v>
      </c>
      <c r="L350">
        <v>0.55000000000000004</v>
      </c>
      <c r="M350">
        <v>2576.1999999999998</v>
      </c>
      <c r="N350">
        <v>1545.72</v>
      </c>
    </row>
    <row r="351" spans="1:14" x14ac:dyDescent="0.25">
      <c r="A351">
        <v>350</v>
      </c>
      <c r="B351" t="s">
        <v>113</v>
      </c>
      <c r="C351" t="str">
        <f t="shared" si="5"/>
        <v>Oct</v>
      </c>
      <c r="D351">
        <f>YEAR(SalesData[[#This Row],[Date]])</f>
        <v>2024</v>
      </c>
      <c r="E351" t="s">
        <v>363</v>
      </c>
      <c r="F351" t="s">
        <v>370</v>
      </c>
      <c r="G351" t="s">
        <v>424</v>
      </c>
      <c r="H351" t="s">
        <v>473</v>
      </c>
      <c r="I351">
        <v>4975</v>
      </c>
      <c r="J351">
        <v>0.95</v>
      </c>
      <c r="K351">
        <v>4726.25</v>
      </c>
      <c r="L351">
        <v>0.67</v>
      </c>
      <c r="M351">
        <v>3333.25</v>
      </c>
      <c r="N351">
        <v>1393</v>
      </c>
    </row>
    <row r="352" spans="1:14" x14ac:dyDescent="0.25">
      <c r="A352">
        <v>351</v>
      </c>
      <c r="B352" t="s">
        <v>47</v>
      </c>
      <c r="C352" t="str">
        <f t="shared" si="5"/>
        <v>Nov</v>
      </c>
      <c r="D352">
        <f>YEAR(SalesData[[#This Row],[Date]])</f>
        <v>2024</v>
      </c>
      <c r="E352" t="s">
        <v>365</v>
      </c>
      <c r="F352" t="s">
        <v>368</v>
      </c>
      <c r="G352" t="s">
        <v>372</v>
      </c>
      <c r="H352" t="s">
        <v>473</v>
      </c>
      <c r="I352">
        <v>2652</v>
      </c>
      <c r="J352">
        <v>1.04</v>
      </c>
      <c r="K352">
        <v>2758.08</v>
      </c>
      <c r="L352">
        <v>0.84</v>
      </c>
      <c r="M352">
        <v>2227.6799999999998</v>
      </c>
      <c r="N352">
        <v>530.4</v>
      </c>
    </row>
    <row r="353" spans="1:14" x14ac:dyDescent="0.25">
      <c r="A353">
        <v>352</v>
      </c>
      <c r="B353" t="s">
        <v>31</v>
      </c>
      <c r="C353" t="str">
        <f t="shared" si="5"/>
        <v>Aug</v>
      </c>
      <c r="D353">
        <f>YEAR(SalesData[[#This Row],[Date]])</f>
        <v>2024</v>
      </c>
      <c r="E353" t="s">
        <v>366</v>
      </c>
      <c r="F353" t="s">
        <v>367</v>
      </c>
      <c r="G353" t="s">
        <v>439</v>
      </c>
      <c r="H353" t="s">
        <v>479</v>
      </c>
      <c r="I353">
        <v>3372</v>
      </c>
      <c r="J353">
        <v>1.4</v>
      </c>
      <c r="K353">
        <v>4720.8</v>
      </c>
      <c r="L353">
        <v>1.05</v>
      </c>
      <c r="M353">
        <v>3540.6</v>
      </c>
      <c r="N353">
        <v>1180.2</v>
      </c>
    </row>
    <row r="354" spans="1:14" x14ac:dyDescent="0.25">
      <c r="A354">
        <v>353</v>
      </c>
      <c r="B354" t="s">
        <v>250</v>
      </c>
      <c r="C354" t="str">
        <f t="shared" si="5"/>
        <v>Aug</v>
      </c>
      <c r="D354">
        <f>YEAR(SalesData[[#This Row],[Date]])</f>
        <v>2024</v>
      </c>
      <c r="E354" t="s">
        <v>366</v>
      </c>
      <c r="F354" t="s">
        <v>368</v>
      </c>
      <c r="G354" t="s">
        <v>439</v>
      </c>
      <c r="H354" t="s">
        <v>485</v>
      </c>
      <c r="I354">
        <v>986</v>
      </c>
      <c r="J354">
        <v>1.2</v>
      </c>
      <c r="K354">
        <v>1183.2</v>
      </c>
      <c r="L354">
        <v>0.88</v>
      </c>
      <c r="M354">
        <v>867.68</v>
      </c>
      <c r="N354">
        <v>315.52</v>
      </c>
    </row>
    <row r="355" spans="1:14" x14ac:dyDescent="0.25">
      <c r="A355">
        <v>354</v>
      </c>
      <c r="B355" t="s">
        <v>25</v>
      </c>
      <c r="C355" t="str">
        <f t="shared" si="5"/>
        <v>Nov</v>
      </c>
      <c r="D355">
        <f>YEAR(SalesData[[#This Row],[Date]])</f>
        <v>2024</v>
      </c>
      <c r="E355" t="s">
        <v>365</v>
      </c>
      <c r="F355" t="s">
        <v>368</v>
      </c>
      <c r="G355" t="s">
        <v>453</v>
      </c>
      <c r="H355" t="s">
        <v>482</v>
      </c>
      <c r="I355">
        <v>2870</v>
      </c>
      <c r="J355">
        <v>1.2</v>
      </c>
      <c r="K355">
        <v>3444</v>
      </c>
      <c r="L355">
        <v>1.01</v>
      </c>
      <c r="M355">
        <v>2898.7</v>
      </c>
      <c r="N355">
        <v>545.29999999999995</v>
      </c>
    </row>
    <row r="356" spans="1:14" x14ac:dyDescent="0.25">
      <c r="A356">
        <v>355</v>
      </c>
      <c r="B356" t="s">
        <v>193</v>
      </c>
      <c r="C356" t="str">
        <f t="shared" si="5"/>
        <v>Sep</v>
      </c>
      <c r="D356">
        <f>YEAR(SalesData[[#This Row],[Date]])</f>
        <v>2024</v>
      </c>
      <c r="E356" t="s">
        <v>366</v>
      </c>
      <c r="F356" t="s">
        <v>367</v>
      </c>
      <c r="G356" t="s">
        <v>463</v>
      </c>
      <c r="H356" t="s">
        <v>481</v>
      </c>
      <c r="I356">
        <v>985</v>
      </c>
      <c r="J356">
        <v>1.49</v>
      </c>
      <c r="K356">
        <v>1467.65</v>
      </c>
      <c r="L356">
        <v>1.22</v>
      </c>
      <c r="M356">
        <v>1201.7</v>
      </c>
      <c r="N356">
        <v>265.95</v>
      </c>
    </row>
    <row r="357" spans="1:14" x14ac:dyDescent="0.25">
      <c r="A357">
        <v>356</v>
      </c>
      <c r="B357" t="s">
        <v>135</v>
      </c>
      <c r="C357" t="str">
        <f t="shared" si="5"/>
        <v>Mar</v>
      </c>
      <c r="D357">
        <f>YEAR(SalesData[[#This Row],[Date]])</f>
        <v>2024</v>
      </c>
      <c r="E357" t="s">
        <v>366</v>
      </c>
      <c r="F357" t="s">
        <v>368</v>
      </c>
      <c r="G357" t="s">
        <v>446</v>
      </c>
      <c r="H357" t="s">
        <v>487</v>
      </c>
      <c r="I357">
        <v>2527</v>
      </c>
      <c r="J357">
        <v>1.33</v>
      </c>
      <c r="K357">
        <v>3360.91</v>
      </c>
      <c r="L357">
        <v>1.02</v>
      </c>
      <c r="M357">
        <v>2577.54</v>
      </c>
      <c r="N357">
        <v>783.37</v>
      </c>
    </row>
    <row r="358" spans="1:14" x14ac:dyDescent="0.25">
      <c r="A358">
        <v>357</v>
      </c>
      <c r="B358" t="s">
        <v>245</v>
      </c>
      <c r="C358" t="str">
        <f t="shared" si="5"/>
        <v>Sep</v>
      </c>
      <c r="D358">
        <f>YEAR(SalesData[[#This Row],[Date]])</f>
        <v>2024</v>
      </c>
      <c r="E358" t="s">
        <v>365</v>
      </c>
      <c r="F358" t="s">
        <v>368</v>
      </c>
      <c r="G358" t="s">
        <v>384</v>
      </c>
      <c r="H358" t="s">
        <v>481</v>
      </c>
      <c r="I358">
        <v>3573</v>
      </c>
      <c r="J358">
        <v>1.1200000000000001</v>
      </c>
      <c r="K358">
        <v>4001.76</v>
      </c>
      <c r="L358">
        <v>0.85</v>
      </c>
      <c r="M358">
        <v>3037.05</v>
      </c>
      <c r="N358">
        <v>964.71</v>
      </c>
    </row>
    <row r="359" spans="1:14" x14ac:dyDescent="0.25">
      <c r="A359">
        <v>358</v>
      </c>
      <c r="B359" t="s">
        <v>16</v>
      </c>
      <c r="C359" t="str">
        <f t="shared" si="5"/>
        <v>Feb</v>
      </c>
      <c r="D359">
        <f>YEAR(SalesData[[#This Row],[Date]])</f>
        <v>2024</v>
      </c>
      <c r="E359" t="s">
        <v>365</v>
      </c>
      <c r="F359" t="s">
        <v>369</v>
      </c>
      <c r="G359" t="s">
        <v>454</v>
      </c>
      <c r="H359" t="s">
        <v>475</v>
      </c>
      <c r="I359">
        <v>4224</v>
      </c>
      <c r="J359">
        <v>1.47</v>
      </c>
      <c r="K359">
        <v>6209.28</v>
      </c>
      <c r="L359">
        <v>1</v>
      </c>
      <c r="M359">
        <v>4224</v>
      </c>
      <c r="N359">
        <v>1985.28</v>
      </c>
    </row>
    <row r="360" spans="1:14" x14ac:dyDescent="0.25">
      <c r="A360">
        <v>359</v>
      </c>
      <c r="B360" t="s">
        <v>251</v>
      </c>
      <c r="C360" t="str">
        <f t="shared" si="5"/>
        <v>Jan</v>
      </c>
      <c r="D360">
        <f>YEAR(SalesData[[#This Row],[Date]])</f>
        <v>2024</v>
      </c>
      <c r="E360" t="s">
        <v>364</v>
      </c>
      <c r="F360" t="s">
        <v>367</v>
      </c>
      <c r="G360" t="s">
        <v>436</v>
      </c>
      <c r="H360" t="s">
        <v>475</v>
      </c>
      <c r="I360">
        <v>1018</v>
      </c>
      <c r="J360">
        <v>1.36</v>
      </c>
      <c r="K360">
        <v>1384.48</v>
      </c>
      <c r="L360">
        <v>0.95</v>
      </c>
      <c r="M360">
        <v>967.1</v>
      </c>
      <c r="N360">
        <v>417.38</v>
      </c>
    </row>
    <row r="361" spans="1:14" x14ac:dyDescent="0.25">
      <c r="A361">
        <v>360</v>
      </c>
      <c r="B361" t="s">
        <v>250</v>
      </c>
      <c r="C361" t="str">
        <f t="shared" si="5"/>
        <v>Aug</v>
      </c>
      <c r="D361">
        <f>YEAR(SalesData[[#This Row],[Date]])</f>
        <v>2024</v>
      </c>
      <c r="E361" t="s">
        <v>364</v>
      </c>
      <c r="F361" t="s">
        <v>368</v>
      </c>
      <c r="G361" t="s">
        <v>412</v>
      </c>
      <c r="H361" t="s">
        <v>487</v>
      </c>
      <c r="I361">
        <v>2823</v>
      </c>
      <c r="J361">
        <v>1.04</v>
      </c>
      <c r="K361">
        <v>2935.92</v>
      </c>
      <c r="L361">
        <v>0.77</v>
      </c>
      <c r="M361">
        <v>2173.71</v>
      </c>
      <c r="N361">
        <v>762.21</v>
      </c>
    </row>
    <row r="362" spans="1:14" x14ac:dyDescent="0.25">
      <c r="A362">
        <v>361</v>
      </c>
      <c r="B362" t="s">
        <v>252</v>
      </c>
      <c r="C362" t="str">
        <f t="shared" si="5"/>
        <v>Oct</v>
      </c>
      <c r="D362">
        <f>YEAR(SalesData[[#This Row],[Date]])</f>
        <v>2024</v>
      </c>
      <c r="E362" t="s">
        <v>365</v>
      </c>
      <c r="F362" t="s">
        <v>369</v>
      </c>
      <c r="G362" t="s">
        <v>411</v>
      </c>
      <c r="H362" t="s">
        <v>478</v>
      </c>
      <c r="I362">
        <v>876</v>
      </c>
      <c r="J362">
        <v>0.87</v>
      </c>
      <c r="K362">
        <v>762.12</v>
      </c>
      <c r="L362">
        <v>0.69</v>
      </c>
      <c r="M362">
        <v>604.44000000000005</v>
      </c>
      <c r="N362">
        <v>157.68</v>
      </c>
    </row>
    <row r="363" spans="1:14" x14ac:dyDescent="0.25">
      <c r="A363">
        <v>362</v>
      </c>
      <c r="B363" t="s">
        <v>253</v>
      </c>
      <c r="C363" t="str">
        <f t="shared" si="5"/>
        <v>Aug</v>
      </c>
      <c r="D363">
        <f>YEAR(SalesData[[#This Row],[Date]])</f>
        <v>2024</v>
      </c>
      <c r="E363" t="s">
        <v>363</v>
      </c>
      <c r="F363" t="s">
        <v>367</v>
      </c>
      <c r="G363" t="s">
        <v>406</v>
      </c>
      <c r="H363" t="s">
        <v>473</v>
      </c>
      <c r="I363">
        <v>4239</v>
      </c>
      <c r="J363">
        <v>0.8</v>
      </c>
      <c r="K363">
        <v>3391.2</v>
      </c>
      <c r="L363">
        <v>0.67</v>
      </c>
      <c r="M363">
        <v>2840.13</v>
      </c>
      <c r="N363">
        <v>551.07000000000005</v>
      </c>
    </row>
    <row r="364" spans="1:14" x14ac:dyDescent="0.25">
      <c r="A364">
        <v>363</v>
      </c>
      <c r="B364" t="s">
        <v>254</v>
      </c>
      <c r="C364" t="str">
        <f t="shared" si="5"/>
        <v>Apr</v>
      </c>
      <c r="D364">
        <f>YEAR(SalesData[[#This Row],[Date]])</f>
        <v>2024</v>
      </c>
      <c r="E364" t="s">
        <v>365</v>
      </c>
      <c r="F364" t="s">
        <v>368</v>
      </c>
      <c r="G364" t="s">
        <v>406</v>
      </c>
      <c r="H364" t="s">
        <v>471</v>
      </c>
      <c r="I364">
        <v>1264</v>
      </c>
      <c r="J364">
        <v>1.26</v>
      </c>
      <c r="K364">
        <v>1592.64</v>
      </c>
      <c r="L364">
        <v>0.83</v>
      </c>
      <c r="M364">
        <v>1049.1199999999999</v>
      </c>
      <c r="N364">
        <v>543.52</v>
      </c>
    </row>
    <row r="365" spans="1:14" x14ac:dyDescent="0.25">
      <c r="A365">
        <v>364</v>
      </c>
      <c r="B365" t="s">
        <v>255</v>
      </c>
      <c r="C365" t="str">
        <f t="shared" si="5"/>
        <v>Jul</v>
      </c>
      <c r="D365">
        <f>YEAR(SalesData[[#This Row],[Date]])</f>
        <v>2024</v>
      </c>
      <c r="E365" t="s">
        <v>363</v>
      </c>
      <c r="F365" t="s">
        <v>368</v>
      </c>
      <c r="G365" t="s">
        <v>455</v>
      </c>
      <c r="H365" t="s">
        <v>482</v>
      </c>
      <c r="I365">
        <v>2418</v>
      </c>
      <c r="J365">
        <v>1.1000000000000001</v>
      </c>
      <c r="K365">
        <v>2659.8</v>
      </c>
      <c r="L365">
        <v>0.69</v>
      </c>
      <c r="M365">
        <v>1668.42</v>
      </c>
      <c r="N365">
        <v>991.38</v>
      </c>
    </row>
    <row r="366" spans="1:14" x14ac:dyDescent="0.25">
      <c r="A366">
        <v>365</v>
      </c>
      <c r="B366" t="s">
        <v>227</v>
      </c>
      <c r="C366" t="str">
        <f t="shared" si="5"/>
        <v>Feb</v>
      </c>
      <c r="D366">
        <f>YEAR(SalesData[[#This Row],[Date]])</f>
        <v>2024</v>
      </c>
      <c r="E366" t="s">
        <v>366</v>
      </c>
      <c r="F366" t="s">
        <v>367</v>
      </c>
      <c r="G366" t="s">
        <v>468</v>
      </c>
      <c r="H366" t="s">
        <v>486</v>
      </c>
      <c r="I366">
        <v>1587</v>
      </c>
      <c r="J366">
        <v>1.22</v>
      </c>
      <c r="K366">
        <v>1936.14</v>
      </c>
      <c r="L366">
        <v>0.89</v>
      </c>
      <c r="M366">
        <v>1412.43</v>
      </c>
      <c r="N366">
        <v>523.71</v>
      </c>
    </row>
    <row r="367" spans="1:14" x14ac:dyDescent="0.25">
      <c r="A367">
        <v>366</v>
      </c>
      <c r="B367" t="s">
        <v>256</v>
      </c>
      <c r="C367" t="str">
        <f t="shared" si="5"/>
        <v>Aug</v>
      </c>
      <c r="D367">
        <f>YEAR(SalesData[[#This Row],[Date]])</f>
        <v>2024</v>
      </c>
      <c r="E367" t="s">
        <v>363</v>
      </c>
      <c r="F367" t="s">
        <v>367</v>
      </c>
      <c r="G367" t="s">
        <v>429</v>
      </c>
      <c r="H367" t="s">
        <v>487</v>
      </c>
      <c r="I367">
        <v>1487</v>
      </c>
      <c r="J367">
        <v>1.49</v>
      </c>
      <c r="K367">
        <v>2215.63</v>
      </c>
      <c r="L367">
        <v>1.05</v>
      </c>
      <c r="M367">
        <v>1561.35</v>
      </c>
      <c r="N367">
        <v>654.28</v>
      </c>
    </row>
    <row r="368" spans="1:14" x14ac:dyDescent="0.25">
      <c r="A368">
        <v>367</v>
      </c>
      <c r="B368" t="s">
        <v>257</v>
      </c>
      <c r="C368" t="str">
        <f t="shared" si="5"/>
        <v>Mar</v>
      </c>
      <c r="D368">
        <f>YEAR(SalesData[[#This Row],[Date]])</f>
        <v>2024</v>
      </c>
      <c r="E368" t="s">
        <v>363</v>
      </c>
      <c r="F368" t="s">
        <v>369</v>
      </c>
      <c r="G368" t="s">
        <v>465</v>
      </c>
      <c r="H368" t="s">
        <v>484</v>
      </c>
      <c r="I368">
        <v>1231</v>
      </c>
      <c r="J368">
        <v>1.31</v>
      </c>
      <c r="K368">
        <v>1612.61</v>
      </c>
      <c r="L368">
        <v>0.82</v>
      </c>
      <c r="M368">
        <v>1009.42</v>
      </c>
      <c r="N368">
        <v>603.19000000000005</v>
      </c>
    </row>
    <row r="369" spans="1:14" x14ac:dyDescent="0.25">
      <c r="A369">
        <v>368</v>
      </c>
      <c r="B369" t="s">
        <v>150</v>
      </c>
      <c r="C369" t="str">
        <f t="shared" si="5"/>
        <v>Jun</v>
      </c>
      <c r="D369">
        <f>YEAR(SalesData[[#This Row],[Date]])</f>
        <v>2024</v>
      </c>
      <c r="E369" t="s">
        <v>365</v>
      </c>
      <c r="F369" t="s">
        <v>370</v>
      </c>
      <c r="G369" t="s">
        <v>457</v>
      </c>
      <c r="H369" t="s">
        <v>484</v>
      </c>
      <c r="I369">
        <v>1590</v>
      </c>
      <c r="J369">
        <v>1.25</v>
      </c>
      <c r="K369">
        <v>1987.5</v>
      </c>
      <c r="L369">
        <v>0.96</v>
      </c>
      <c r="M369">
        <v>1526.4</v>
      </c>
      <c r="N369">
        <v>461.1</v>
      </c>
    </row>
    <row r="370" spans="1:14" x14ac:dyDescent="0.25">
      <c r="A370">
        <v>369</v>
      </c>
      <c r="B370" t="s">
        <v>29</v>
      </c>
      <c r="C370" t="str">
        <f t="shared" si="5"/>
        <v>Feb</v>
      </c>
      <c r="D370">
        <f>YEAR(SalesData[[#This Row],[Date]])</f>
        <v>2024</v>
      </c>
      <c r="E370" t="s">
        <v>366</v>
      </c>
      <c r="F370" t="s">
        <v>367</v>
      </c>
      <c r="G370" t="s">
        <v>396</v>
      </c>
      <c r="H370" t="s">
        <v>475</v>
      </c>
      <c r="I370">
        <v>2245</v>
      </c>
      <c r="J370">
        <v>1.24</v>
      </c>
      <c r="K370">
        <v>2783.8</v>
      </c>
      <c r="L370">
        <v>0.79</v>
      </c>
      <c r="M370">
        <v>1773.55</v>
      </c>
      <c r="N370">
        <v>1010.25</v>
      </c>
    </row>
    <row r="371" spans="1:14" x14ac:dyDescent="0.25">
      <c r="A371">
        <v>370</v>
      </c>
      <c r="B371" t="s">
        <v>114</v>
      </c>
      <c r="C371" t="str">
        <f t="shared" si="5"/>
        <v>Jul</v>
      </c>
      <c r="D371">
        <f>YEAR(SalesData[[#This Row],[Date]])</f>
        <v>2024</v>
      </c>
      <c r="E371" t="s">
        <v>366</v>
      </c>
      <c r="F371" t="s">
        <v>369</v>
      </c>
      <c r="G371" t="s">
        <v>437</v>
      </c>
      <c r="H371" t="s">
        <v>488</v>
      </c>
      <c r="I371">
        <v>1646</v>
      </c>
      <c r="J371">
        <v>1.33</v>
      </c>
      <c r="K371">
        <v>2189.1799999999998</v>
      </c>
      <c r="L371">
        <v>0.99</v>
      </c>
      <c r="M371">
        <v>1629.54</v>
      </c>
      <c r="N371">
        <v>559.64</v>
      </c>
    </row>
    <row r="372" spans="1:14" x14ac:dyDescent="0.25">
      <c r="A372">
        <v>371</v>
      </c>
      <c r="B372" t="s">
        <v>179</v>
      </c>
      <c r="C372" t="str">
        <f t="shared" si="5"/>
        <v>Jul</v>
      </c>
      <c r="D372">
        <f>YEAR(SalesData[[#This Row],[Date]])</f>
        <v>2024</v>
      </c>
      <c r="E372" t="s">
        <v>364</v>
      </c>
      <c r="F372" t="s">
        <v>370</v>
      </c>
      <c r="G372" t="s">
        <v>404</v>
      </c>
      <c r="H372" t="s">
        <v>474</v>
      </c>
      <c r="I372">
        <v>2529</v>
      </c>
      <c r="J372">
        <v>0.99</v>
      </c>
      <c r="K372">
        <v>2503.71</v>
      </c>
      <c r="L372">
        <v>0.61</v>
      </c>
      <c r="M372">
        <v>1542.69</v>
      </c>
      <c r="N372">
        <v>961.02</v>
      </c>
    </row>
    <row r="373" spans="1:14" x14ac:dyDescent="0.25">
      <c r="A373">
        <v>372</v>
      </c>
      <c r="B373" t="s">
        <v>48</v>
      </c>
      <c r="C373" t="str">
        <f t="shared" si="5"/>
        <v>Oct</v>
      </c>
      <c r="D373">
        <f>YEAR(SalesData[[#This Row],[Date]])</f>
        <v>2024</v>
      </c>
      <c r="E373" t="s">
        <v>363</v>
      </c>
      <c r="F373" t="s">
        <v>370</v>
      </c>
      <c r="G373" t="s">
        <v>389</v>
      </c>
      <c r="H373" t="s">
        <v>482</v>
      </c>
      <c r="I373">
        <v>2183</v>
      </c>
      <c r="J373">
        <v>1.1599999999999999</v>
      </c>
      <c r="K373">
        <v>2532.2800000000002</v>
      </c>
      <c r="L373">
        <v>0.84</v>
      </c>
      <c r="M373">
        <v>1833.72</v>
      </c>
      <c r="N373">
        <v>698.56</v>
      </c>
    </row>
    <row r="374" spans="1:14" x14ac:dyDescent="0.25">
      <c r="A374">
        <v>373</v>
      </c>
      <c r="B374" t="s">
        <v>258</v>
      </c>
      <c r="C374" t="str">
        <f t="shared" si="5"/>
        <v>Jul</v>
      </c>
      <c r="D374">
        <f>YEAR(SalesData[[#This Row],[Date]])</f>
        <v>2024</v>
      </c>
      <c r="E374" t="s">
        <v>363</v>
      </c>
      <c r="F374" t="s">
        <v>370</v>
      </c>
      <c r="G374" t="s">
        <v>388</v>
      </c>
      <c r="H374" t="s">
        <v>483</v>
      </c>
      <c r="I374">
        <v>3661</v>
      </c>
      <c r="J374">
        <v>0.88</v>
      </c>
      <c r="K374">
        <v>3221.68</v>
      </c>
      <c r="L374">
        <v>0.64</v>
      </c>
      <c r="M374">
        <v>2343.04</v>
      </c>
      <c r="N374">
        <v>878.64</v>
      </c>
    </row>
    <row r="375" spans="1:14" x14ac:dyDescent="0.25">
      <c r="A375">
        <v>374</v>
      </c>
      <c r="B375" t="s">
        <v>230</v>
      </c>
      <c r="C375" t="str">
        <f t="shared" si="5"/>
        <v>Oct</v>
      </c>
      <c r="D375">
        <f>YEAR(SalesData[[#This Row],[Date]])</f>
        <v>2024</v>
      </c>
      <c r="E375" t="s">
        <v>363</v>
      </c>
      <c r="F375" t="s">
        <v>367</v>
      </c>
      <c r="G375" t="s">
        <v>383</v>
      </c>
      <c r="H375" t="s">
        <v>487</v>
      </c>
      <c r="I375">
        <v>1581</v>
      </c>
      <c r="J375">
        <v>1.07</v>
      </c>
      <c r="K375">
        <v>1691.67</v>
      </c>
      <c r="L375">
        <v>0.87</v>
      </c>
      <c r="M375">
        <v>1375.47</v>
      </c>
      <c r="N375">
        <v>316.2</v>
      </c>
    </row>
    <row r="376" spans="1:14" x14ac:dyDescent="0.25">
      <c r="A376">
        <v>375</v>
      </c>
      <c r="B376" t="s">
        <v>75</v>
      </c>
      <c r="C376" t="str">
        <f t="shared" si="5"/>
        <v>Aug</v>
      </c>
      <c r="D376">
        <f>YEAR(SalesData[[#This Row],[Date]])</f>
        <v>2024</v>
      </c>
      <c r="E376" t="s">
        <v>366</v>
      </c>
      <c r="F376" t="s">
        <v>370</v>
      </c>
      <c r="G376" t="s">
        <v>424</v>
      </c>
      <c r="H376" t="s">
        <v>483</v>
      </c>
      <c r="I376">
        <v>1097</v>
      </c>
      <c r="J376">
        <v>0.81</v>
      </c>
      <c r="K376">
        <v>888.57</v>
      </c>
      <c r="L376">
        <v>0.5</v>
      </c>
      <c r="M376">
        <v>548.5</v>
      </c>
      <c r="N376">
        <v>340.07</v>
      </c>
    </row>
    <row r="377" spans="1:14" x14ac:dyDescent="0.25">
      <c r="A377">
        <v>376</v>
      </c>
      <c r="B377" t="s">
        <v>26</v>
      </c>
      <c r="C377" t="str">
        <f t="shared" si="5"/>
        <v>May</v>
      </c>
      <c r="D377">
        <f>YEAR(SalesData[[#This Row],[Date]])</f>
        <v>2024</v>
      </c>
      <c r="E377" t="s">
        <v>363</v>
      </c>
      <c r="F377" t="s">
        <v>368</v>
      </c>
      <c r="G377" t="s">
        <v>400</v>
      </c>
      <c r="H377" t="s">
        <v>484</v>
      </c>
      <c r="I377">
        <v>4650</v>
      </c>
      <c r="J377">
        <v>1</v>
      </c>
      <c r="K377">
        <v>4650</v>
      </c>
      <c r="L377">
        <v>0.78</v>
      </c>
      <c r="M377">
        <v>3627</v>
      </c>
      <c r="N377">
        <v>1023</v>
      </c>
    </row>
    <row r="378" spans="1:14" x14ac:dyDescent="0.25">
      <c r="A378">
        <v>377</v>
      </c>
      <c r="B378" t="s">
        <v>141</v>
      </c>
      <c r="C378" t="str">
        <f t="shared" si="5"/>
        <v>Jul</v>
      </c>
      <c r="D378">
        <f>YEAR(SalesData[[#This Row],[Date]])</f>
        <v>2024</v>
      </c>
      <c r="E378" t="s">
        <v>364</v>
      </c>
      <c r="F378" t="s">
        <v>369</v>
      </c>
      <c r="G378" t="s">
        <v>376</v>
      </c>
      <c r="H378" t="s">
        <v>476</v>
      </c>
      <c r="I378">
        <v>4904</v>
      </c>
      <c r="J378">
        <v>1.23</v>
      </c>
      <c r="K378">
        <v>6031.92</v>
      </c>
      <c r="L378">
        <v>0.82</v>
      </c>
      <c r="M378">
        <v>4021.28</v>
      </c>
      <c r="N378">
        <v>2010.64</v>
      </c>
    </row>
    <row r="379" spans="1:14" x14ac:dyDescent="0.25">
      <c r="A379">
        <v>378</v>
      </c>
      <c r="B379" t="s">
        <v>144</v>
      </c>
      <c r="C379" t="str">
        <f t="shared" si="5"/>
        <v>Jun</v>
      </c>
      <c r="D379">
        <f>YEAR(SalesData[[#This Row],[Date]])</f>
        <v>2024</v>
      </c>
      <c r="E379" t="s">
        <v>366</v>
      </c>
      <c r="F379" t="s">
        <v>367</v>
      </c>
      <c r="G379" t="s">
        <v>399</v>
      </c>
      <c r="H379" t="s">
        <v>476</v>
      </c>
      <c r="I379">
        <v>3176</v>
      </c>
      <c r="J379">
        <v>1.07</v>
      </c>
      <c r="K379">
        <v>3398.32</v>
      </c>
      <c r="L379">
        <v>0.81</v>
      </c>
      <c r="M379">
        <v>2572.56</v>
      </c>
      <c r="N379">
        <v>825.76</v>
      </c>
    </row>
    <row r="380" spans="1:14" x14ac:dyDescent="0.25">
      <c r="A380">
        <v>379</v>
      </c>
      <c r="B380" t="s">
        <v>259</v>
      </c>
      <c r="C380" t="str">
        <f t="shared" si="5"/>
        <v>Nov</v>
      </c>
      <c r="D380">
        <f>YEAR(SalesData[[#This Row],[Date]])</f>
        <v>2024</v>
      </c>
      <c r="E380" t="s">
        <v>365</v>
      </c>
      <c r="F380" t="s">
        <v>367</v>
      </c>
      <c r="G380" t="s">
        <v>429</v>
      </c>
      <c r="H380" t="s">
        <v>481</v>
      </c>
      <c r="I380">
        <v>2454</v>
      </c>
      <c r="J380">
        <v>0.84</v>
      </c>
      <c r="K380">
        <v>2061.36</v>
      </c>
      <c r="L380">
        <v>0.52</v>
      </c>
      <c r="M380">
        <v>1276.08</v>
      </c>
      <c r="N380">
        <v>785.28</v>
      </c>
    </row>
    <row r="381" spans="1:14" x14ac:dyDescent="0.25">
      <c r="A381">
        <v>380</v>
      </c>
      <c r="B381" t="s">
        <v>260</v>
      </c>
      <c r="C381" t="str">
        <f t="shared" si="5"/>
        <v>Aug</v>
      </c>
      <c r="D381">
        <f>YEAR(SalesData[[#This Row],[Date]])</f>
        <v>2024</v>
      </c>
      <c r="E381" t="s">
        <v>364</v>
      </c>
      <c r="F381" t="s">
        <v>367</v>
      </c>
      <c r="G381" t="s">
        <v>422</v>
      </c>
      <c r="H381" t="s">
        <v>489</v>
      </c>
      <c r="I381">
        <v>950</v>
      </c>
      <c r="J381">
        <v>1.02</v>
      </c>
      <c r="K381">
        <v>969</v>
      </c>
      <c r="L381">
        <v>0.8</v>
      </c>
      <c r="M381">
        <v>760</v>
      </c>
      <c r="N381">
        <v>209</v>
      </c>
    </row>
    <row r="382" spans="1:14" x14ac:dyDescent="0.25">
      <c r="A382">
        <v>381</v>
      </c>
      <c r="B382" t="s">
        <v>149</v>
      </c>
      <c r="C382" t="str">
        <f t="shared" si="5"/>
        <v>Mar</v>
      </c>
      <c r="D382">
        <f>YEAR(SalesData[[#This Row],[Date]])</f>
        <v>2024</v>
      </c>
      <c r="E382" t="s">
        <v>363</v>
      </c>
      <c r="F382" t="s">
        <v>367</v>
      </c>
      <c r="G382" t="s">
        <v>453</v>
      </c>
      <c r="H382" t="s">
        <v>474</v>
      </c>
      <c r="I382">
        <v>592</v>
      </c>
      <c r="J382">
        <v>0.91</v>
      </c>
      <c r="K382">
        <v>538.72</v>
      </c>
      <c r="L382">
        <v>0.76</v>
      </c>
      <c r="M382">
        <v>449.92</v>
      </c>
      <c r="N382">
        <v>88.8</v>
      </c>
    </row>
    <row r="383" spans="1:14" x14ac:dyDescent="0.25">
      <c r="A383">
        <v>382</v>
      </c>
      <c r="B383" t="s">
        <v>86</v>
      </c>
      <c r="C383" t="str">
        <f t="shared" si="5"/>
        <v>Sep</v>
      </c>
      <c r="D383">
        <f>YEAR(SalesData[[#This Row],[Date]])</f>
        <v>2024</v>
      </c>
      <c r="E383" t="s">
        <v>366</v>
      </c>
      <c r="F383" t="s">
        <v>370</v>
      </c>
      <c r="G383" t="s">
        <v>466</v>
      </c>
      <c r="H383" t="s">
        <v>474</v>
      </c>
      <c r="I383">
        <v>2701</v>
      </c>
      <c r="J383">
        <v>1.31</v>
      </c>
      <c r="K383">
        <v>3538.31</v>
      </c>
      <c r="L383">
        <v>0.82</v>
      </c>
      <c r="M383">
        <v>2214.8200000000002</v>
      </c>
      <c r="N383">
        <v>1323.49</v>
      </c>
    </row>
    <row r="384" spans="1:14" x14ac:dyDescent="0.25">
      <c r="A384">
        <v>383</v>
      </c>
      <c r="B384" t="s">
        <v>261</v>
      </c>
      <c r="C384" t="str">
        <f t="shared" si="5"/>
        <v>Jan</v>
      </c>
      <c r="D384">
        <f>YEAR(SalesData[[#This Row],[Date]])</f>
        <v>2024</v>
      </c>
      <c r="E384" t="s">
        <v>364</v>
      </c>
      <c r="F384" t="s">
        <v>370</v>
      </c>
      <c r="G384" t="s">
        <v>412</v>
      </c>
      <c r="H384" t="s">
        <v>490</v>
      </c>
      <c r="I384">
        <v>1023</v>
      </c>
      <c r="J384">
        <v>0.98</v>
      </c>
      <c r="K384">
        <v>1002.54</v>
      </c>
      <c r="L384">
        <v>0.83</v>
      </c>
      <c r="M384">
        <v>849.09</v>
      </c>
      <c r="N384">
        <v>153.44999999999999</v>
      </c>
    </row>
    <row r="385" spans="1:14" x14ac:dyDescent="0.25">
      <c r="A385">
        <v>384</v>
      </c>
      <c r="B385" t="s">
        <v>262</v>
      </c>
      <c r="C385" t="str">
        <f t="shared" si="5"/>
        <v>Nov</v>
      </c>
      <c r="D385">
        <f>YEAR(SalesData[[#This Row],[Date]])</f>
        <v>2024</v>
      </c>
      <c r="E385" t="s">
        <v>364</v>
      </c>
      <c r="F385" t="s">
        <v>367</v>
      </c>
      <c r="G385" t="s">
        <v>378</v>
      </c>
      <c r="H385" t="s">
        <v>490</v>
      </c>
      <c r="I385">
        <v>3450</v>
      </c>
      <c r="J385">
        <v>0.84</v>
      </c>
      <c r="K385">
        <v>2898</v>
      </c>
      <c r="L385">
        <v>0.68</v>
      </c>
      <c r="M385">
        <v>2346</v>
      </c>
      <c r="N385">
        <v>552</v>
      </c>
    </row>
    <row r="386" spans="1:14" x14ac:dyDescent="0.25">
      <c r="A386">
        <v>385</v>
      </c>
      <c r="B386" t="s">
        <v>249</v>
      </c>
      <c r="C386" t="str">
        <f t="shared" ref="C386:C449" si="6">TEXT(B386,"mmm")</f>
        <v>Mar</v>
      </c>
      <c r="D386">
        <f>YEAR(SalesData[[#This Row],[Date]])</f>
        <v>2024</v>
      </c>
      <c r="E386" t="s">
        <v>366</v>
      </c>
      <c r="F386" t="s">
        <v>370</v>
      </c>
      <c r="G386" t="s">
        <v>408</v>
      </c>
      <c r="H386" t="s">
        <v>488</v>
      </c>
      <c r="I386">
        <v>1444</v>
      </c>
      <c r="J386">
        <v>0.96</v>
      </c>
      <c r="K386">
        <v>1386.24</v>
      </c>
      <c r="L386">
        <v>0.7</v>
      </c>
      <c r="M386">
        <v>1010.8</v>
      </c>
      <c r="N386">
        <v>375.44</v>
      </c>
    </row>
    <row r="387" spans="1:14" x14ac:dyDescent="0.25">
      <c r="A387">
        <v>386</v>
      </c>
      <c r="B387" t="s">
        <v>50</v>
      </c>
      <c r="C387" t="str">
        <f t="shared" si="6"/>
        <v>Jan</v>
      </c>
      <c r="D387">
        <f>YEAR(SalesData[[#This Row],[Date]])</f>
        <v>2024</v>
      </c>
      <c r="E387" t="s">
        <v>366</v>
      </c>
      <c r="F387" t="s">
        <v>367</v>
      </c>
      <c r="G387" t="s">
        <v>377</v>
      </c>
      <c r="H387" t="s">
        <v>483</v>
      </c>
      <c r="I387">
        <v>3481</v>
      </c>
      <c r="J387">
        <v>1.07</v>
      </c>
      <c r="K387">
        <v>3724.67</v>
      </c>
      <c r="L387">
        <v>0.68</v>
      </c>
      <c r="M387">
        <v>2367.08</v>
      </c>
      <c r="N387">
        <v>1357.59</v>
      </c>
    </row>
    <row r="388" spans="1:14" x14ac:dyDescent="0.25">
      <c r="A388">
        <v>387</v>
      </c>
      <c r="B388" t="s">
        <v>263</v>
      </c>
      <c r="C388" t="str">
        <f t="shared" si="6"/>
        <v>Jan</v>
      </c>
      <c r="D388">
        <f>YEAR(SalesData[[#This Row],[Date]])</f>
        <v>2024</v>
      </c>
      <c r="E388" t="s">
        <v>366</v>
      </c>
      <c r="F388" t="s">
        <v>369</v>
      </c>
      <c r="G388" t="s">
        <v>441</v>
      </c>
      <c r="H388" t="s">
        <v>477</v>
      </c>
      <c r="I388">
        <v>3909</v>
      </c>
      <c r="J388">
        <v>1.44</v>
      </c>
      <c r="K388">
        <v>5628.96</v>
      </c>
      <c r="L388">
        <v>0.98</v>
      </c>
      <c r="M388">
        <v>3830.82</v>
      </c>
      <c r="N388">
        <v>1798.14</v>
      </c>
    </row>
    <row r="389" spans="1:14" x14ac:dyDescent="0.25">
      <c r="A389">
        <v>388</v>
      </c>
      <c r="B389" t="s">
        <v>151</v>
      </c>
      <c r="C389" t="str">
        <f t="shared" si="6"/>
        <v>Feb</v>
      </c>
      <c r="D389">
        <f>YEAR(SalesData[[#This Row],[Date]])</f>
        <v>2024</v>
      </c>
      <c r="E389" t="s">
        <v>363</v>
      </c>
      <c r="F389" t="s">
        <v>370</v>
      </c>
      <c r="G389" t="s">
        <v>405</v>
      </c>
      <c r="H389" t="s">
        <v>478</v>
      </c>
      <c r="I389">
        <v>1969</v>
      </c>
      <c r="J389">
        <v>0.96</v>
      </c>
      <c r="K389">
        <v>1890.24</v>
      </c>
      <c r="L389">
        <v>0.7</v>
      </c>
      <c r="M389">
        <v>1378.3</v>
      </c>
      <c r="N389">
        <v>511.94</v>
      </c>
    </row>
    <row r="390" spans="1:14" x14ac:dyDescent="0.25">
      <c r="A390">
        <v>389</v>
      </c>
      <c r="B390" t="s">
        <v>211</v>
      </c>
      <c r="C390" t="str">
        <f t="shared" si="6"/>
        <v>Jan</v>
      </c>
      <c r="D390">
        <f>YEAR(SalesData[[#This Row],[Date]])</f>
        <v>2024</v>
      </c>
      <c r="E390" t="s">
        <v>363</v>
      </c>
      <c r="F390" t="s">
        <v>369</v>
      </c>
      <c r="G390" t="s">
        <v>394</v>
      </c>
      <c r="H390" t="s">
        <v>482</v>
      </c>
      <c r="I390">
        <v>3045</v>
      </c>
      <c r="J390">
        <v>1.03</v>
      </c>
      <c r="K390">
        <v>3136.35</v>
      </c>
      <c r="L390">
        <v>0.76</v>
      </c>
      <c r="M390">
        <v>2314.1999999999998</v>
      </c>
      <c r="N390">
        <v>822.15</v>
      </c>
    </row>
    <row r="391" spans="1:14" x14ac:dyDescent="0.25">
      <c r="A391">
        <v>390</v>
      </c>
      <c r="B391" t="s">
        <v>264</v>
      </c>
      <c r="C391" t="str">
        <f t="shared" si="6"/>
        <v>Jan</v>
      </c>
      <c r="D391">
        <f>YEAR(SalesData[[#This Row],[Date]])</f>
        <v>2024</v>
      </c>
      <c r="E391" t="s">
        <v>366</v>
      </c>
      <c r="F391" t="s">
        <v>370</v>
      </c>
      <c r="G391" t="s">
        <v>386</v>
      </c>
      <c r="H391" t="s">
        <v>479</v>
      </c>
      <c r="I391">
        <v>2989</v>
      </c>
      <c r="J391">
        <v>1.32</v>
      </c>
      <c r="K391">
        <v>3945.48</v>
      </c>
      <c r="L391">
        <v>0.87</v>
      </c>
      <c r="M391">
        <v>2600.4299999999998</v>
      </c>
      <c r="N391">
        <v>1345.05</v>
      </c>
    </row>
    <row r="392" spans="1:14" x14ac:dyDescent="0.25">
      <c r="A392">
        <v>391</v>
      </c>
      <c r="B392" t="s">
        <v>153</v>
      </c>
      <c r="C392" t="str">
        <f t="shared" si="6"/>
        <v>Jul</v>
      </c>
      <c r="D392">
        <f>YEAR(SalesData[[#This Row],[Date]])</f>
        <v>2024</v>
      </c>
      <c r="E392" t="s">
        <v>366</v>
      </c>
      <c r="F392" t="s">
        <v>369</v>
      </c>
      <c r="G392" t="s">
        <v>469</v>
      </c>
      <c r="H392" t="s">
        <v>476</v>
      </c>
      <c r="I392">
        <v>2508</v>
      </c>
      <c r="J392">
        <v>0.91</v>
      </c>
      <c r="K392">
        <v>2282.2800000000002</v>
      </c>
      <c r="L392">
        <v>0.76</v>
      </c>
      <c r="M392">
        <v>1906.08</v>
      </c>
      <c r="N392">
        <v>376.2</v>
      </c>
    </row>
    <row r="393" spans="1:14" x14ac:dyDescent="0.25">
      <c r="A393">
        <v>392</v>
      </c>
      <c r="B393" t="s">
        <v>265</v>
      </c>
      <c r="C393" t="str">
        <f t="shared" si="6"/>
        <v>Jan</v>
      </c>
      <c r="D393">
        <f>YEAR(SalesData[[#This Row],[Date]])</f>
        <v>2024</v>
      </c>
      <c r="E393" t="s">
        <v>365</v>
      </c>
      <c r="F393" t="s">
        <v>368</v>
      </c>
      <c r="G393" t="s">
        <v>436</v>
      </c>
      <c r="H393" t="s">
        <v>472</v>
      </c>
      <c r="I393">
        <v>3244</v>
      </c>
      <c r="J393">
        <v>0.8</v>
      </c>
      <c r="K393">
        <v>2595.1999999999998</v>
      </c>
      <c r="L393">
        <v>0.61</v>
      </c>
      <c r="M393">
        <v>1978.84</v>
      </c>
      <c r="N393">
        <v>616.36</v>
      </c>
    </row>
    <row r="394" spans="1:14" x14ac:dyDescent="0.25">
      <c r="A394">
        <v>393</v>
      </c>
      <c r="B394" t="s">
        <v>28</v>
      </c>
      <c r="C394" t="str">
        <f t="shared" si="6"/>
        <v>Jun</v>
      </c>
      <c r="D394">
        <f>YEAR(SalesData[[#This Row],[Date]])</f>
        <v>2024</v>
      </c>
      <c r="E394" t="s">
        <v>366</v>
      </c>
      <c r="F394" t="s">
        <v>367</v>
      </c>
      <c r="G394" t="s">
        <v>442</v>
      </c>
      <c r="H394" t="s">
        <v>477</v>
      </c>
      <c r="I394">
        <v>3939</v>
      </c>
      <c r="J394">
        <v>1.1399999999999999</v>
      </c>
      <c r="K394">
        <v>4490.46</v>
      </c>
      <c r="L394">
        <v>0.7</v>
      </c>
      <c r="M394">
        <v>2757.3</v>
      </c>
      <c r="N394">
        <v>1733.16</v>
      </c>
    </row>
    <row r="395" spans="1:14" x14ac:dyDescent="0.25">
      <c r="A395">
        <v>394</v>
      </c>
      <c r="B395" t="s">
        <v>103</v>
      </c>
      <c r="C395" t="str">
        <f t="shared" si="6"/>
        <v>Mar</v>
      </c>
      <c r="D395">
        <f>YEAR(SalesData[[#This Row],[Date]])</f>
        <v>2024</v>
      </c>
      <c r="E395" t="s">
        <v>363</v>
      </c>
      <c r="F395" t="s">
        <v>370</v>
      </c>
      <c r="G395" t="s">
        <v>377</v>
      </c>
      <c r="H395" t="s">
        <v>477</v>
      </c>
      <c r="I395">
        <v>4757</v>
      </c>
      <c r="J395">
        <v>1.0900000000000001</v>
      </c>
      <c r="K395">
        <v>5185.13</v>
      </c>
      <c r="L395">
        <v>0.9</v>
      </c>
      <c r="M395">
        <v>4281.3</v>
      </c>
      <c r="N395">
        <v>903.83</v>
      </c>
    </row>
    <row r="396" spans="1:14" x14ac:dyDescent="0.25">
      <c r="A396">
        <v>395</v>
      </c>
      <c r="B396" t="s">
        <v>172</v>
      </c>
      <c r="C396" t="str">
        <f t="shared" si="6"/>
        <v>Aug</v>
      </c>
      <c r="D396">
        <f>YEAR(SalesData[[#This Row],[Date]])</f>
        <v>2024</v>
      </c>
      <c r="E396" t="s">
        <v>363</v>
      </c>
      <c r="F396" t="s">
        <v>367</v>
      </c>
      <c r="G396" t="s">
        <v>405</v>
      </c>
      <c r="H396" t="s">
        <v>474</v>
      </c>
      <c r="I396">
        <v>3730</v>
      </c>
      <c r="J396">
        <v>0.85</v>
      </c>
      <c r="K396">
        <v>3170.5</v>
      </c>
      <c r="L396">
        <v>0.63</v>
      </c>
      <c r="M396">
        <v>2349.9</v>
      </c>
      <c r="N396">
        <v>820.6</v>
      </c>
    </row>
    <row r="397" spans="1:14" x14ac:dyDescent="0.25">
      <c r="A397">
        <v>396</v>
      </c>
      <c r="B397" t="s">
        <v>260</v>
      </c>
      <c r="C397" t="str">
        <f t="shared" si="6"/>
        <v>Aug</v>
      </c>
      <c r="D397">
        <f>YEAR(SalesData[[#This Row],[Date]])</f>
        <v>2024</v>
      </c>
      <c r="E397" t="s">
        <v>366</v>
      </c>
      <c r="F397" t="s">
        <v>368</v>
      </c>
      <c r="G397" t="s">
        <v>386</v>
      </c>
      <c r="H397" t="s">
        <v>471</v>
      </c>
      <c r="I397">
        <v>3080</v>
      </c>
      <c r="J397">
        <v>1.45</v>
      </c>
      <c r="K397">
        <v>4466</v>
      </c>
      <c r="L397">
        <v>1.01</v>
      </c>
      <c r="M397">
        <v>3110.8</v>
      </c>
      <c r="N397">
        <v>1355.2</v>
      </c>
    </row>
    <row r="398" spans="1:14" x14ac:dyDescent="0.25">
      <c r="A398">
        <v>397</v>
      </c>
      <c r="B398" t="s">
        <v>196</v>
      </c>
      <c r="C398" t="str">
        <f t="shared" si="6"/>
        <v>Jun</v>
      </c>
      <c r="D398">
        <f>YEAR(SalesData[[#This Row],[Date]])</f>
        <v>2024</v>
      </c>
      <c r="E398" t="s">
        <v>364</v>
      </c>
      <c r="F398" t="s">
        <v>370</v>
      </c>
      <c r="G398" t="s">
        <v>412</v>
      </c>
      <c r="H398" t="s">
        <v>477</v>
      </c>
      <c r="I398">
        <v>1111</v>
      </c>
      <c r="J398">
        <v>1.46</v>
      </c>
      <c r="K398">
        <v>1622.06</v>
      </c>
      <c r="L398">
        <v>0.93</v>
      </c>
      <c r="M398">
        <v>1033.23</v>
      </c>
      <c r="N398">
        <v>588.83000000000004</v>
      </c>
    </row>
    <row r="399" spans="1:14" x14ac:dyDescent="0.25">
      <c r="A399">
        <v>398</v>
      </c>
      <c r="B399" t="s">
        <v>23</v>
      </c>
      <c r="C399" t="str">
        <f t="shared" si="6"/>
        <v>Oct</v>
      </c>
      <c r="D399">
        <f>YEAR(SalesData[[#This Row],[Date]])</f>
        <v>2024</v>
      </c>
      <c r="E399" t="s">
        <v>366</v>
      </c>
      <c r="F399" t="s">
        <v>367</v>
      </c>
      <c r="G399" t="s">
        <v>450</v>
      </c>
      <c r="H399" t="s">
        <v>480</v>
      </c>
      <c r="I399">
        <v>4182</v>
      </c>
      <c r="J399">
        <v>1.1299999999999999</v>
      </c>
      <c r="K399">
        <v>4725.66</v>
      </c>
      <c r="L399">
        <v>0.79</v>
      </c>
      <c r="M399">
        <v>3303.78</v>
      </c>
      <c r="N399">
        <v>1421.88</v>
      </c>
    </row>
    <row r="400" spans="1:14" x14ac:dyDescent="0.25">
      <c r="A400">
        <v>399</v>
      </c>
      <c r="B400" t="s">
        <v>17</v>
      </c>
      <c r="C400" t="str">
        <f t="shared" si="6"/>
        <v>Oct</v>
      </c>
      <c r="D400">
        <f>YEAR(SalesData[[#This Row],[Date]])</f>
        <v>2024</v>
      </c>
      <c r="E400" t="s">
        <v>366</v>
      </c>
      <c r="F400" t="s">
        <v>370</v>
      </c>
      <c r="G400" t="s">
        <v>434</v>
      </c>
      <c r="H400" t="s">
        <v>482</v>
      </c>
      <c r="I400">
        <v>4295</v>
      </c>
      <c r="J400">
        <v>0.99</v>
      </c>
      <c r="K400">
        <v>4252.05</v>
      </c>
      <c r="L400">
        <v>0.62</v>
      </c>
      <c r="M400">
        <v>2662.9</v>
      </c>
      <c r="N400">
        <v>1589.15</v>
      </c>
    </row>
    <row r="401" spans="1:14" x14ac:dyDescent="0.25">
      <c r="A401">
        <v>400</v>
      </c>
      <c r="B401" t="s">
        <v>42</v>
      </c>
      <c r="C401" t="str">
        <f t="shared" si="6"/>
        <v>Mar</v>
      </c>
      <c r="D401">
        <f>YEAR(SalesData[[#This Row],[Date]])</f>
        <v>2024</v>
      </c>
      <c r="E401" t="s">
        <v>363</v>
      </c>
      <c r="F401" t="s">
        <v>370</v>
      </c>
      <c r="G401" t="s">
        <v>381</v>
      </c>
      <c r="H401" t="s">
        <v>487</v>
      </c>
      <c r="I401">
        <v>1715</v>
      </c>
      <c r="J401">
        <v>0.86</v>
      </c>
      <c r="K401">
        <v>1474.9</v>
      </c>
      <c r="L401">
        <v>0.56999999999999995</v>
      </c>
      <c r="M401">
        <v>977.55</v>
      </c>
      <c r="N401">
        <v>497.35</v>
      </c>
    </row>
    <row r="402" spans="1:14" x14ac:dyDescent="0.25">
      <c r="A402">
        <v>401</v>
      </c>
      <c r="B402" t="s">
        <v>266</v>
      </c>
      <c r="C402" t="str">
        <f t="shared" si="6"/>
        <v>Jul</v>
      </c>
      <c r="D402">
        <f>YEAR(SalesData[[#This Row],[Date]])</f>
        <v>2024</v>
      </c>
      <c r="E402" t="s">
        <v>363</v>
      </c>
      <c r="F402" t="s">
        <v>369</v>
      </c>
      <c r="G402" t="s">
        <v>414</v>
      </c>
      <c r="H402" t="s">
        <v>482</v>
      </c>
      <c r="I402">
        <v>2631</v>
      </c>
      <c r="J402">
        <v>1.37</v>
      </c>
      <c r="K402">
        <v>3604.47</v>
      </c>
      <c r="L402">
        <v>0.88</v>
      </c>
      <c r="M402">
        <v>2315.2800000000002</v>
      </c>
      <c r="N402">
        <v>1289.19</v>
      </c>
    </row>
    <row r="403" spans="1:14" x14ac:dyDescent="0.25">
      <c r="A403">
        <v>402</v>
      </c>
      <c r="B403" t="s">
        <v>243</v>
      </c>
      <c r="C403" t="str">
        <f t="shared" si="6"/>
        <v>Jul</v>
      </c>
      <c r="D403">
        <f>YEAR(SalesData[[#This Row],[Date]])</f>
        <v>2024</v>
      </c>
      <c r="E403" t="s">
        <v>366</v>
      </c>
      <c r="F403" t="s">
        <v>369</v>
      </c>
      <c r="G403" t="s">
        <v>462</v>
      </c>
      <c r="H403" t="s">
        <v>473</v>
      </c>
      <c r="I403">
        <v>1334</v>
      </c>
      <c r="J403">
        <v>1.36</v>
      </c>
      <c r="K403">
        <v>1814.24</v>
      </c>
      <c r="L403">
        <v>0.86</v>
      </c>
      <c r="M403">
        <v>1147.24</v>
      </c>
      <c r="N403">
        <v>667</v>
      </c>
    </row>
    <row r="404" spans="1:14" x14ac:dyDescent="0.25">
      <c r="A404">
        <v>403</v>
      </c>
      <c r="B404" t="s">
        <v>267</v>
      </c>
      <c r="C404" t="str">
        <f t="shared" si="6"/>
        <v>Jan</v>
      </c>
      <c r="D404">
        <f>YEAR(SalesData[[#This Row],[Date]])</f>
        <v>2024</v>
      </c>
      <c r="E404" t="s">
        <v>366</v>
      </c>
      <c r="F404" t="s">
        <v>367</v>
      </c>
      <c r="G404" t="s">
        <v>410</v>
      </c>
      <c r="H404" t="s">
        <v>485</v>
      </c>
      <c r="I404">
        <v>3781</v>
      </c>
      <c r="J404">
        <v>1.06</v>
      </c>
      <c r="K404">
        <v>4007.86</v>
      </c>
      <c r="L404">
        <v>0.8</v>
      </c>
      <c r="M404">
        <v>3024.8</v>
      </c>
      <c r="N404">
        <v>983.06</v>
      </c>
    </row>
    <row r="405" spans="1:14" x14ac:dyDescent="0.25">
      <c r="A405">
        <v>404</v>
      </c>
      <c r="B405" t="s">
        <v>45</v>
      </c>
      <c r="C405" t="str">
        <f t="shared" si="6"/>
        <v>Nov</v>
      </c>
      <c r="D405">
        <f>YEAR(SalesData[[#This Row],[Date]])</f>
        <v>2024</v>
      </c>
      <c r="E405" t="s">
        <v>365</v>
      </c>
      <c r="F405" t="s">
        <v>367</v>
      </c>
      <c r="G405" t="s">
        <v>392</v>
      </c>
      <c r="H405" t="s">
        <v>472</v>
      </c>
      <c r="I405">
        <v>1028</v>
      </c>
      <c r="J405">
        <v>0.94</v>
      </c>
      <c r="K405">
        <v>966.32</v>
      </c>
      <c r="L405">
        <v>0.72</v>
      </c>
      <c r="M405">
        <v>740.16</v>
      </c>
      <c r="N405">
        <v>226.16</v>
      </c>
    </row>
    <row r="406" spans="1:14" x14ac:dyDescent="0.25">
      <c r="A406">
        <v>405</v>
      </c>
      <c r="B406" t="s">
        <v>63</v>
      </c>
      <c r="C406" t="str">
        <f t="shared" si="6"/>
        <v>Mar</v>
      </c>
      <c r="D406">
        <f>YEAR(SalesData[[#This Row],[Date]])</f>
        <v>2024</v>
      </c>
      <c r="E406" t="s">
        <v>365</v>
      </c>
      <c r="F406" t="s">
        <v>367</v>
      </c>
      <c r="G406" t="s">
        <v>459</v>
      </c>
      <c r="H406" t="s">
        <v>478</v>
      </c>
      <c r="I406">
        <v>4276</v>
      </c>
      <c r="J406">
        <v>0.84</v>
      </c>
      <c r="K406">
        <v>3591.84</v>
      </c>
      <c r="L406">
        <v>0.7</v>
      </c>
      <c r="M406">
        <v>2993.2</v>
      </c>
      <c r="N406">
        <v>598.64</v>
      </c>
    </row>
    <row r="407" spans="1:14" x14ac:dyDescent="0.25">
      <c r="A407">
        <v>406</v>
      </c>
      <c r="B407" t="s">
        <v>105</v>
      </c>
      <c r="C407" t="str">
        <f t="shared" si="6"/>
        <v>Aug</v>
      </c>
      <c r="D407">
        <f>YEAR(SalesData[[#This Row],[Date]])</f>
        <v>2024</v>
      </c>
      <c r="E407" t="s">
        <v>364</v>
      </c>
      <c r="F407" t="s">
        <v>369</v>
      </c>
      <c r="G407" t="s">
        <v>435</v>
      </c>
      <c r="H407" t="s">
        <v>484</v>
      </c>
      <c r="I407">
        <v>3995</v>
      </c>
      <c r="J407">
        <v>0.92</v>
      </c>
      <c r="K407">
        <v>3675.4</v>
      </c>
      <c r="L407">
        <v>0.6</v>
      </c>
      <c r="M407">
        <v>2397</v>
      </c>
      <c r="N407">
        <v>1278.4000000000001</v>
      </c>
    </row>
    <row r="408" spans="1:14" x14ac:dyDescent="0.25">
      <c r="A408">
        <v>407</v>
      </c>
      <c r="B408" t="s">
        <v>181</v>
      </c>
      <c r="C408" t="str">
        <f t="shared" si="6"/>
        <v>Apr</v>
      </c>
      <c r="D408">
        <f>YEAR(SalesData[[#This Row],[Date]])</f>
        <v>2024</v>
      </c>
      <c r="E408" t="s">
        <v>365</v>
      </c>
      <c r="F408" t="s">
        <v>370</v>
      </c>
      <c r="G408" t="s">
        <v>434</v>
      </c>
      <c r="H408" t="s">
        <v>474</v>
      </c>
      <c r="I408">
        <v>783</v>
      </c>
      <c r="J408">
        <v>1.23</v>
      </c>
      <c r="K408">
        <v>963.09</v>
      </c>
      <c r="L408">
        <v>0.93</v>
      </c>
      <c r="M408">
        <v>728.19</v>
      </c>
      <c r="N408">
        <v>234.9</v>
      </c>
    </row>
    <row r="409" spans="1:14" x14ac:dyDescent="0.25">
      <c r="A409">
        <v>408</v>
      </c>
      <c r="B409" t="s">
        <v>238</v>
      </c>
      <c r="C409" t="str">
        <f t="shared" si="6"/>
        <v>Nov</v>
      </c>
      <c r="D409">
        <f>YEAR(SalesData[[#This Row],[Date]])</f>
        <v>2024</v>
      </c>
      <c r="E409" t="s">
        <v>364</v>
      </c>
      <c r="F409" t="s">
        <v>370</v>
      </c>
      <c r="G409" t="s">
        <v>438</v>
      </c>
      <c r="H409" t="s">
        <v>476</v>
      </c>
      <c r="I409">
        <v>4424</v>
      </c>
      <c r="J409">
        <v>0.84</v>
      </c>
      <c r="K409">
        <v>3716.16</v>
      </c>
      <c r="L409">
        <v>0.56000000000000005</v>
      </c>
      <c r="M409">
        <v>2477.44</v>
      </c>
      <c r="N409">
        <v>1238.72</v>
      </c>
    </row>
    <row r="410" spans="1:14" x14ac:dyDescent="0.25">
      <c r="A410">
        <v>409</v>
      </c>
      <c r="B410" t="s">
        <v>195</v>
      </c>
      <c r="C410" t="str">
        <f t="shared" si="6"/>
        <v>Mar</v>
      </c>
      <c r="D410">
        <f>YEAR(SalesData[[#This Row],[Date]])</f>
        <v>2024</v>
      </c>
      <c r="E410" t="s">
        <v>366</v>
      </c>
      <c r="F410" t="s">
        <v>369</v>
      </c>
      <c r="G410" t="s">
        <v>431</v>
      </c>
      <c r="H410" t="s">
        <v>490</v>
      </c>
      <c r="I410">
        <v>2541</v>
      </c>
      <c r="J410">
        <v>1.24</v>
      </c>
      <c r="K410">
        <v>3150.84</v>
      </c>
      <c r="L410">
        <v>0.99</v>
      </c>
      <c r="M410">
        <v>2515.59</v>
      </c>
      <c r="N410">
        <v>635.25</v>
      </c>
    </row>
    <row r="411" spans="1:14" x14ac:dyDescent="0.25">
      <c r="A411">
        <v>410</v>
      </c>
      <c r="B411" t="s">
        <v>268</v>
      </c>
      <c r="C411" t="str">
        <f t="shared" si="6"/>
        <v>Jan</v>
      </c>
      <c r="D411">
        <f>YEAR(SalesData[[#This Row],[Date]])</f>
        <v>2024</v>
      </c>
      <c r="E411" t="s">
        <v>365</v>
      </c>
      <c r="F411" t="s">
        <v>369</v>
      </c>
      <c r="G411" t="s">
        <v>468</v>
      </c>
      <c r="H411" t="s">
        <v>476</v>
      </c>
      <c r="I411">
        <v>4470</v>
      </c>
      <c r="J411">
        <v>1.04</v>
      </c>
      <c r="K411">
        <v>4648.8</v>
      </c>
      <c r="L411">
        <v>0.77</v>
      </c>
      <c r="M411">
        <v>3441.9</v>
      </c>
      <c r="N411">
        <v>1206.9000000000001</v>
      </c>
    </row>
    <row r="412" spans="1:14" x14ac:dyDescent="0.25">
      <c r="A412">
        <v>411</v>
      </c>
      <c r="B412" t="s">
        <v>65</v>
      </c>
      <c r="C412" t="str">
        <f t="shared" si="6"/>
        <v>Jun</v>
      </c>
      <c r="D412">
        <f>YEAR(SalesData[[#This Row],[Date]])</f>
        <v>2024</v>
      </c>
      <c r="E412" t="s">
        <v>365</v>
      </c>
      <c r="F412" t="s">
        <v>369</v>
      </c>
      <c r="G412" t="s">
        <v>401</v>
      </c>
      <c r="H412" t="s">
        <v>472</v>
      </c>
      <c r="I412">
        <v>3112</v>
      </c>
      <c r="J412">
        <v>1.22</v>
      </c>
      <c r="K412">
        <v>3796.64</v>
      </c>
      <c r="L412">
        <v>0.74</v>
      </c>
      <c r="M412">
        <v>2302.88</v>
      </c>
      <c r="N412">
        <v>1493.76</v>
      </c>
    </row>
    <row r="413" spans="1:14" x14ac:dyDescent="0.25">
      <c r="A413">
        <v>412</v>
      </c>
      <c r="B413" t="s">
        <v>269</v>
      </c>
      <c r="C413" t="str">
        <f t="shared" si="6"/>
        <v>May</v>
      </c>
      <c r="D413">
        <f>YEAR(SalesData[[#This Row],[Date]])</f>
        <v>2024</v>
      </c>
      <c r="E413" t="s">
        <v>364</v>
      </c>
      <c r="F413" t="s">
        <v>367</v>
      </c>
      <c r="G413" t="s">
        <v>442</v>
      </c>
      <c r="H413" t="s">
        <v>475</v>
      </c>
      <c r="I413">
        <v>2406</v>
      </c>
      <c r="J413">
        <v>1.48</v>
      </c>
      <c r="K413">
        <v>3560.88</v>
      </c>
      <c r="L413">
        <v>0.93</v>
      </c>
      <c r="M413">
        <v>2237.58</v>
      </c>
      <c r="N413">
        <v>1323.3</v>
      </c>
    </row>
    <row r="414" spans="1:14" x14ac:dyDescent="0.25">
      <c r="A414">
        <v>413</v>
      </c>
      <c r="B414" t="s">
        <v>270</v>
      </c>
      <c r="C414" t="str">
        <f t="shared" si="6"/>
        <v>Dec</v>
      </c>
      <c r="D414">
        <f>YEAR(SalesData[[#This Row],[Date]])</f>
        <v>2024</v>
      </c>
      <c r="E414" t="s">
        <v>365</v>
      </c>
      <c r="F414" t="s">
        <v>368</v>
      </c>
      <c r="G414" t="s">
        <v>379</v>
      </c>
      <c r="H414" t="s">
        <v>478</v>
      </c>
      <c r="I414">
        <v>2297</v>
      </c>
      <c r="J414">
        <v>1.2</v>
      </c>
      <c r="K414">
        <v>2756.4</v>
      </c>
      <c r="L414">
        <v>1.01</v>
      </c>
      <c r="M414">
        <v>2319.9699999999998</v>
      </c>
      <c r="N414">
        <v>436.43</v>
      </c>
    </row>
    <row r="415" spans="1:14" x14ac:dyDescent="0.25">
      <c r="A415">
        <v>414</v>
      </c>
      <c r="B415" t="s">
        <v>155</v>
      </c>
      <c r="C415" t="str">
        <f t="shared" si="6"/>
        <v>Jul</v>
      </c>
      <c r="D415">
        <f>YEAR(SalesData[[#This Row],[Date]])</f>
        <v>2024</v>
      </c>
      <c r="E415" t="s">
        <v>366</v>
      </c>
      <c r="F415" t="s">
        <v>370</v>
      </c>
      <c r="G415" t="s">
        <v>445</v>
      </c>
      <c r="H415" t="s">
        <v>477</v>
      </c>
      <c r="I415">
        <v>3105</v>
      </c>
      <c r="J415">
        <v>1.36</v>
      </c>
      <c r="K415">
        <v>4222.8</v>
      </c>
      <c r="L415">
        <v>1.05</v>
      </c>
      <c r="M415">
        <v>3260.25</v>
      </c>
      <c r="N415">
        <v>962.55</v>
      </c>
    </row>
    <row r="416" spans="1:14" x14ac:dyDescent="0.25">
      <c r="A416">
        <v>415</v>
      </c>
      <c r="B416" t="s">
        <v>271</v>
      </c>
      <c r="C416" t="str">
        <f t="shared" si="6"/>
        <v>Oct</v>
      </c>
      <c r="D416">
        <f>YEAR(SalesData[[#This Row],[Date]])</f>
        <v>2024</v>
      </c>
      <c r="E416" t="s">
        <v>365</v>
      </c>
      <c r="F416" t="s">
        <v>367</v>
      </c>
      <c r="G416" t="s">
        <v>433</v>
      </c>
      <c r="H416" t="s">
        <v>479</v>
      </c>
      <c r="I416">
        <v>1664</v>
      </c>
      <c r="J416">
        <v>1.19</v>
      </c>
      <c r="K416">
        <v>1980.16</v>
      </c>
      <c r="L416">
        <v>0.77</v>
      </c>
      <c r="M416">
        <v>1281.28</v>
      </c>
      <c r="N416">
        <v>698.88</v>
      </c>
    </row>
    <row r="417" spans="1:14" x14ac:dyDescent="0.25">
      <c r="A417">
        <v>416</v>
      </c>
      <c r="B417" t="s">
        <v>272</v>
      </c>
      <c r="C417" t="str">
        <f t="shared" si="6"/>
        <v>Sep</v>
      </c>
      <c r="D417">
        <f>YEAR(SalesData[[#This Row],[Date]])</f>
        <v>2024</v>
      </c>
      <c r="E417" t="s">
        <v>366</v>
      </c>
      <c r="F417" t="s">
        <v>370</v>
      </c>
      <c r="G417" t="s">
        <v>387</v>
      </c>
      <c r="H417" t="s">
        <v>478</v>
      </c>
      <c r="I417">
        <v>1239</v>
      </c>
      <c r="J417">
        <v>0.84</v>
      </c>
      <c r="K417">
        <v>1040.76</v>
      </c>
      <c r="L417">
        <v>0.63</v>
      </c>
      <c r="M417">
        <v>780.57</v>
      </c>
      <c r="N417">
        <v>260.19</v>
      </c>
    </row>
    <row r="418" spans="1:14" x14ac:dyDescent="0.25">
      <c r="A418">
        <v>417</v>
      </c>
      <c r="B418" t="s">
        <v>81</v>
      </c>
      <c r="C418" t="str">
        <f t="shared" si="6"/>
        <v>Jan</v>
      </c>
      <c r="D418">
        <f>YEAR(SalesData[[#This Row],[Date]])</f>
        <v>2024</v>
      </c>
      <c r="E418" t="s">
        <v>363</v>
      </c>
      <c r="F418" t="s">
        <v>369</v>
      </c>
      <c r="G418" t="s">
        <v>423</v>
      </c>
      <c r="H418" t="s">
        <v>489</v>
      </c>
      <c r="I418">
        <v>2150</v>
      </c>
      <c r="J418">
        <v>1.36</v>
      </c>
      <c r="K418">
        <v>2924</v>
      </c>
      <c r="L418">
        <v>0.93</v>
      </c>
      <c r="M418">
        <v>1999.5</v>
      </c>
      <c r="N418">
        <v>924.5</v>
      </c>
    </row>
    <row r="419" spans="1:14" x14ac:dyDescent="0.25">
      <c r="A419">
        <v>418</v>
      </c>
      <c r="B419" t="s">
        <v>273</v>
      </c>
      <c r="C419" t="str">
        <f t="shared" si="6"/>
        <v>Mar</v>
      </c>
      <c r="D419">
        <f>YEAR(SalesData[[#This Row],[Date]])</f>
        <v>2024</v>
      </c>
      <c r="E419" t="s">
        <v>363</v>
      </c>
      <c r="F419" t="s">
        <v>370</v>
      </c>
      <c r="G419" t="s">
        <v>467</v>
      </c>
      <c r="H419" t="s">
        <v>474</v>
      </c>
      <c r="I419">
        <v>1660</v>
      </c>
      <c r="J419">
        <v>1.34</v>
      </c>
      <c r="K419">
        <v>2224.4</v>
      </c>
      <c r="L419">
        <v>1.0900000000000001</v>
      </c>
      <c r="M419">
        <v>1809.4</v>
      </c>
      <c r="N419">
        <v>415</v>
      </c>
    </row>
    <row r="420" spans="1:14" x14ac:dyDescent="0.25">
      <c r="A420">
        <v>419</v>
      </c>
      <c r="B420" t="s">
        <v>274</v>
      </c>
      <c r="C420" t="str">
        <f t="shared" si="6"/>
        <v>Jul</v>
      </c>
      <c r="D420">
        <f>YEAR(SalesData[[#This Row],[Date]])</f>
        <v>2024</v>
      </c>
      <c r="E420" t="s">
        <v>365</v>
      </c>
      <c r="F420" t="s">
        <v>367</v>
      </c>
      <c r="G420" t="s">
        <v>453</v>
      </c>
      <c r="H420" t="s">
        <v>484</v>
      </c>
      <c r="I420">
        <v>1327</v>
      </c>
      <c r="J420">
        <v>1.04</v>
      </c>
      <c r="K420">
        <v>1380.08</v>
      </c>
      <c r="L420">
        <v>0.71</v>
      </c>
      <c r="M420">
        <v>942.17</v>
      </c>
      <c r="N420">
        <v>437.91</v>
      </c>
    </row>
    <row r="421" spans="1:14" x14ac:dyDescent="0.25">
      <c r="A421">
        <v>420</v>
      </c>
      <c r="B421" t="s">
        <v>42</v>
      </c>
      <c r="C421" t="str">
        <f t="shared" si="6"/>
        <v>Mar</v>
      </c>
      <c r="D421">
        <f>YEAR(SalesData[[#This Row],[Date]])</f>
        <v>2024</v>
      </c>
      <c r="E421" t="s">
        <v>364</v>
      </c>
      <c r="F421" t="s">
        <v>369</v>
      </c>
      <c r="G421" t="s">
        <v>420</v>
      </c>
      <c r="H421" t="s">
        <v>487</v>
      </c>
      <c r="I421">
        <v>1927</v>
      </c>
      <c r="J421">
        <v>1.3</v>
      </c>
      <c r="K421">
        <v>2505.1</v>
      </c>
      <c r="L421">
        <v>0.96</v>
      </c>
      <c r="M421">
        <v>1849.92</v>
      </c>
      <c r="N421">
        <v>655.17999999999995</v>
      </c>
    </row>
    <row r="422" spans="1:14" x14ac:dyDescent="0.25">
      <c r="A422">
        <v>421</v>
      </c>
      <c r="B422" t="s">
        <v>275</v>
      </c>
      <c r="C422" t="str">
        <f t="shared" si="6"/>
        <v>Nov</v>
      </c>
      <c r="D422">
        <f>YEAR(SalesData[[#This Row],[Date]])</f>
        <v>2024</v>
      </c>
      <c r="E422" t="s">
        <v>366</v>
      </c>
      <c r="F422" t="s">
        <v>370</v>
      </c>
      <c r="G422" t="s">
        <v>403</v>
      </c>
      <c r="H422" t="s">
        <v>479</v>
      </c>
      <c r="I422">
        <v>1936</v>
      </c>
      <c r="J422">
        <v>1.06</v>
      </c>
      <c r="K422">
        <v>2052.16</v>
      </c>
      <c r="L422">
        <v>0.83</v>
      </c>
      <c r="M422">
        <v>1606.88</v>
      </c>
      <c r="N422">
        <v>445.28</v>
      </c>
    </row>
    <row r="423" spans="1:14" x14ac:dyDescent="0.25">
      <c r="A423">
        <v>422</v>
      </c>
      <c r="B423" t="s">
        <v>120</v>
      </c>
      <c r="C423" t="str">
        <f t="shared" si="6"/>
        <v>May</v>
      </c>
      <c r="D423">
        <f>YEAR(SalesData[[#This Row],[Date]])</f>
        <v>2024</v>
      </c>
      <c r="E423" t="s">
        <v>366</v>
      </c>
      <c r="F423" t="s">
        <v>368</v>
      </c>
      <c r="G423" t="s">
        <v>469</v>
      </c>
      <c r="H423" t="s">
        <v>472</v>
      </c>
      <c r="I423">
        <v>3707</v>
      </c>
      <c r="J423">
        <v>1.4</v>
      </c>
      <c r="K423">
        <v>5189.8</v>
      </c>
      <c r="L423">
        <v>1.1100000000000001</v>
      </c>
      <c r="M423">
        <v>4114.7700000000004</v>
      </c>
      <c r="N423">
        <v>1075.03</v>
      </c>
    </row>
    <row r="424" spans="1:14" x14ac:dyDescent="0.25">
      <c r="A424">
        <v>423</v>
      </c>
      <c r="B424" t="s">
        <v>206</v>
      </c>
      <c r="C424" t="str">
        <f t="shared" si="6"/>
        <v>Oct</v>
      </c>
      <c r="D424">
        <f>YEAR(SalesData[[#This Row],[Date]])</f>
        <v>2024</v>
      </c>
      <c r="E424" t="s">
        <v>366</v>
      </c>
      <c r="F424" t="s">
        <v>367</v>
      </c>
      <c r="G424" t="s">
        <v>444</v>
      </c>
      <c r="H424" t="s">
        <v>487</v>
      </c>
      <c r="I424">
        <v>2309</v>
      </c>
      <c r="J424">
        <v>1.25</v>
      </c>
      <c r="K424">
        <v>2886.25</v>
      </c>
      <c r="L424">
        <v>0.78</v>
      </c>
      <c r="M424">
        <v>1801.02</v>
      </c>
      <c r="N424">
        <v>1085.23</v>
      </c>
    </row>
    <row r="425" spans="1:14" x14ac:dyDescent="0.25">
      <c r="A425">
        <v>424</v>
      </c>
      <c r="B425" t="s">
        <v>276</v>
      </c>
      <c r="C425" t="str">
        <f t="shared" si="6"/>
        <v>Sep</v>
      </c>
      <c r="D425">
        <f>YEAR(SalesData[[#This Row],[Date]])</f>
        <v>2024</v>
      </c>
      <c r="E425" t="s">
        <v>365</v>
      </c>
      <c r="F425" t="s">
        <v>368</v>
      </c>
      <c r="G425" t="s">
        <v>432</v>
      </c>
      <c r="H425" t="s">
        <v>486</v>
      </c>
      <c r="I425">
        <v>2449</v>
      </c>
      <c r="J425">
        <v>1.04</v>
      </c>
      <c r="K425">
        <v>2546.96</v>
      </c>
      <c r="L425">
        <v>0.71</v>
      </c>
      <c r="M425">
        <v>1738.79</v>
      </c>
      <c r="N425">
        <v>808.17</v>
      </c>
    </row>
    <row r="426" spans="1:14" x14ac:dyDescent="0.25">
      <c r="A426">
        <v>425</v>
      </c>
      <c r="B426" t="s">
        <v>277</v>
      </c>
      <c r="C426" t="str">
        <f t="shared" si="6"/>
        <v>Nov</v>
      </c>
      <c r="D426">
        <f>YEAR(SalesData[[#This Row],[Date]])</f>
        <v>2024</v>
      </c>
      <c r="E426" t="s">
        <v>365</v>
      </c>
      <c r="F426" t="s">
        <v>367</v>
      </c>
      <c r="G426" t="s">
        <v>434</v>
      </c>
      <c r="H426" t="s">
        <v>472</v>
      </c>
      <c r="I426">
        <v>2672</v>
      </c>
      <c r="J426">
        <v>0.95</v>
      </c>
      <c r="K426">
        <v>2538.4</v>
      </c>
      <c r="L426">
        <v>0.73</v>
      </c>
      <c r="M426">
        <v>1950.56</v>
      </c>
      <c r="N426">
        <v>587.84</v>
      </c>
    </row>
    <row r="427" spans="1:14" x14ac:dyDescent="0.25">
      <c r="A427">
        <v>426</v>
      </c>
      <c r="B427" t="s">
        <v>80</v>
      </c>
      <c r="C427" t="str">
        <f t="shared" si="6"/>
        <v>Jun</v>
      </c>
      <c r="D427">
        <f>YEAR(SalesData[[#This Row],[Date]])</f>
        <v>2024</v>
      </c>
      <c r="E427" t="s">
        <v>363</v>
      </c>
      <c r="F427" t="s">
        <v>370</v>
      </c>
      <c r="G427" t="s">
        <v>451</v>
      </c>
      <c r="H427" t="s">
        <v>472</v>
      </c>
      <c r="I427">
        <v>894</v>
      </c>
      <c r="J427">
        <v>1.07</v>
      </c>
      <c r="K427">
        <v>956.58</v>
      </c>
      <c r="L427">
        <v>0.84</v>
      </c>
      <c r="M427">
        <v>750.96</v>
      </c>
      <c r="N427">
        <v>205.62</v>
      </c>
    </row>
    <row r="428" spans="1:14" x14ac:dyDescent="0.25">
      <c r="A428">
        <v>427</v>
      </c>
      <c r="B428" t="s">
        <v>249</v>
      </c>
      <c r="C428" t="str">
        <f t="shared" si="6"/>
        <v>Mar</v>
      </c>
      <c r="D428">
        <f>YEAR(SalesData[[#This Row],[Date]])</f>
        <v>2024</v>
      </c>
      <c r="E428" t="s">
        <v>364</v>
      </c>
      <c r="F428" t="s">
        <v>369</v>
      </c>
      <c r="G428" t="s">
        <v>464</v>
      </c>
      <c r="H428" t="s">
        <v>475</v>
      </c>
      <c r="I428">
        <v>4973</v>
      </c>
      <c r="J428">
        <v>1.06</v>
      </c>
      <c r="K428">
        <v>5271.38</v>
      </c>
      <c r="L428">
        <v>0.86</v>
      </c>
      <c r="M428">
        <v>4276.78</v>
      </c>
      <c r="N428">
        <v>994.6</v>
      </c>
    </row>
    <row r="429" spans="1:14" x14ac:dyDescent="0.25">
      <c r="A429">
        <v>428</v>
      </c>
      <c r="B429" t="s">
        <v>278</v>
      </c>
      <c r="C429" t="str">
        <f t="shared" si="6"/>
        <v>Oct</v>
      </c>
      <c r="D429">
        <f>YEAR(SalesData[[#This Row],[Date]])</f>
        <v>2024</v>
      </c>
      <c r="E429" t="s">
        <v>366</v>
      </c>
      <c r="F429" t="s">
        <v>368</v>
      </c>
      <c r="G429" t="s">
        <v>434</v>
      </c>
      <c r="H429" t="s">
        <v>486</v>
      </c>
      <c r="I429">
        <v>773</v>
      </c>
      <c r="J429">
        <v>1.01</v>
      </c>
      <c r="K429">
        <v>780.73</v>
      </c>
      <c r="L429">
        <v>0.69</v>
      </c>
      <c r="M429">
        <v>533.37</v>
      </c>
      <c r="N429">
        <v>247.36</v>
      </c>
    </row>
    <row r="430" spans="1:14" x14ac:dyDescent="0.25">
      <c r="A430">
        <v>429</v>
      </c>
      <c r="B430" t="s">
        <v>279</v>
      </c>
      <c r="C430" t="str">
        <f t="shared" si="6"/>
        <v>Feb</v>
      </c>
      <c r="D430">
        <f>YEAR(SalesData[[#This Row],[Date]])</f>
        <v>2024</v>
      </c>
      <c r="E430" t="s">
        <v>365</v>
      </c>
      <c r="F430" t="s">
        <v>367</v>
      </c>
      <c r="G430" t="s">
        <v>397</v>
      </c>
      <c r="H430" t="s">
        <v>484</v>
      </c>
      <c r="I430">
        <v>1818</v>
      </c>
      <c r="J430">
        <v>1.31</v>
      </c>
      <c r="K430">
        <v>2381.58</v>
      </c>
      <c r="L430">
        <v>0.97</v>
      </c>
      <c r="M430">
        <v>1763.46</v>
      </c>
      <c r="N430">
        <v>618.12</v>
      </c>
    </row>
    <row r="431" spans="1:14" x14ac:dyDescent="0.25">
      <c r="A431">
        <v>430</v>
      </c>
      <c r="B431" t="s">
        <v>16</v>
      </c>
      <c r="C431" t="str">
        <f t="shared" si="6"/>
        <v>Feb</v>
      </c>
      <c r="D431">
        <f>YEAR(SalesData[[#This Row],[Date]])</f>
        <v>2024</v>
      </c>
      <c r="E431" t="s">
        <v>364</v>
      </c>
      <c r="F431" t="s">
        <v>370</v>
      </c>
      <c r="G431" t="s">
        <v>453</v>
      </c>
      <c r="H431" t="s">
        <v>472</v>
      </c>
      <c r="I431">
        <v>4033</v>
      </c>
      <c r="J431">
        <v>1.46</v>
      </c>
      <c r="K431">
        <v>5888.18</v>
      </c>
      <c r="L431">
        <v>0.94</v>
      </c>
      <c r="M431">
        <v>3791.02</v>
      </c>
      <c r="N431">
        <v>2097.16</v>
      </c>
    </row>
    <row r="432" spans="1:14" x14ac:dyDescent="0.25">
      <c r="A432">
        <v>431</v>
      </c>
      <c r="B432" t="s">
        <v>260</v>
      </c>
      <c r="C432" t="str">
        <f t="shared" si="6"/>
        <v>Aug</v>
      </c>
      <c r="D432">
        <f>YEAR(SalesData[[#This Row],[Date]])</f>
        <v>2024</v>
      </c>
      <c r="E432" t="s">
        <v>363</v>
      </c>
      <c r="F432" t="s">
        <v>368</v>
      </c>
      <c r="G432" t="s">
        <v>462</v>
      </c>
      <c r="H432" t="s">
        <v>487</v>
      </c>
      <c r="I432">
        <v>2183</v>
      </c>
      <c r="J432">
        <v>1.48</v>
      </c>
      <c r="K432">
        <v>3230.84</v>
      </c>
      <c r="L432">
        <v>1.04</v>
      </c>
      <c r="M432">
        <v>2270.3200000000002</v>
      </c>
      <c r="N432">
        <v>960.52</v>
      </c>
    </row>
    <row r="433" spans="1:14" x14ac:dyDescent="0.25">
      <c r="A433">
        <v>432</v>
      </c>
      <c r="B433" t="s">
        <v>48</v>
      </c>
      <c r="C433" t="str">
        <f t="shared" si="6"/>
        <v>Oct</v>
      </c>
      <c r="D433">
        <f>YEAR(SalesData[[#This Row],[Date]])</f>
        <v>2024</v>
      </c>
      <c r="E433" t="s">
        <v>365</v>
      </c>
      <c r="F433" t="s">
        <v>370</v>
      </c>
      <c r="G433" t="s">
        <v>443</v>
      </c>
      <c r="H433" t="s">
        <v>477</v>
      </c>
      <c r="I433">
        <v>1285</v>
      </c>
      <c r="J433">
        <v>0.83</v>
      </c>
      <c r="K433">
        <v>1066.55</v>
      </c>
      <c r="L433">
        <v>0.62</v>
      </c>
      <c r="M433">
        <v>796.7</v>
      </c>
      <c r="N433">
        <v>269.85000000000002</v>
      </c>
    </row>
    <row r="434" spans="1:14" x14ac:dyDescent="0.25">
      <c r="A434">
        <v>433</v>
      </c>
      <c r="B434" t="s">
        <v>96</v>
      </c>
      <c r="C434" t="str">
        <f t="shared" si="6"/>
        <v>Sep</v>
      </c>
      <c r="D434">
        <f>YEAR(SalesData[[#This Row],[Date]])</f>
        <v>2024</v>
      </c>
      <c r="E434" t="s">
        <v>363</v>
      </c>
      <c r="F434" t="s">
        <v>368</v>
      </c>
      <c r="G434" t="s">
        <v>383</v>
      </c>
      <c r="H434" t="s">
        <v>472</v>
      </c>
      <c r="I434">
        <v>4002</v>
      </c>
      <c r="J434">
        <v>0.86</v>
      </c>
      <c r="K434">
        <v>3441.72</v>
      </c>
      <c r="L434">
        <v>0.69</v>
      </c>
      <c r="M434">
        <v>2761.38</v>
      </c>
      <c r="N434">
        <v>680.34</v>
      </c>
    </row>
    <row r="435" spans="1:14" x14ac:dyDescent="0.25">
      <c r="A435">
        <v>434</v>
      </c>
      <c r="B435" t="s">
        <v>72</v>
      </c>
      <c r="C435" t="str">
        <f t="shared" si="6"/>
        <v>Nov</v>
      </c>
      <c r="D435">
        <f>YEAR(SalesData[[#This Row],[Date]])</f>
        <v>2024</v>
      </c>
      <c r="E435" t="s">
        <v>366</v>
      </c>
      <c r="F435" t="s">
        <v>369</v>
      </c>
      <c r="G435" t="s">
        <v>462</v>
      </c>
      <c r="H435" t="s">
        <v>472</v>
      </c>
      <c r="I435">
        <v>2195</v>
      </c>
      <c r="J435">
        <v>0.92</v>
      </c>
      <c r="K435">
        <v>2019.4</v>
      </c>
      <c r="L435">
        <v>0.62</v>
      </c>
      <c r="M435">
        <v>1360.9</v>
      </c>
      <c r="N435">
        <v>658.5</v>
      </c>
    </row>
    <row r="436" spans="1:14" x14ac:dyDescent="0.25">
      <c r="A436">
        <v>435</v>
      </c>
      <c r="B436" t="s">
        <v>117</v>
      </c>
      <c r="C436" t="str">
        <f t="shared" si="6"/>
        <v>Feb</v>
      </c>
      <c r="D436">
        <f>YEAR(SalesData[[#This Row],[Date]])</f>
        <v>2024</v>
      </c>
      <c r="E436" t="s">
        <v>363</v>
      </c>
      <c r="F436" t="s">
        <v>369</v>
      </c>
      <c r="G436" t="s">
        <v>428</v>
      </c>
      <c r="H436" t="s">
        <v>484</v>
      </c>
      <c r="I436">
        <v>4357</v>
      </c>
      <c r="J436">
        <v>1.1399999999999999</v>
      </c>
      <c r="K436">
        <v>4966.9799999999996</v>
      </c>
      <c r="L436">
        <v>0.87</v>
      </c>
      <c r="M436">
        <v>3790.59</v>
      </c>
      <c r="N436">
        <v>1176.3900000000001</v>
      </c>
    </row>
    <row r="437" spans="1:14" x14ac:dyDescent="0.25">
      <c r="A437">
        <v>436</v>
      </c>
      <c r="B437" t="s">
        <v>280</v>
      </c>
      <c r="C437" t="str">
        <f t="shared" si="6"/>
        <v>Feb</v>
      </c>
      <c r="D437">
        <f>YEAR(SalesData[[#This Row],[Date]])</f>
        <v>2024</v>
      </c>
      <c r="E437" t="s">
        <v>366</v>
      </c>
      <c r="F437" t="s">
        <v>369</v>
      </c>
      <c r="G437" t="s">
        <v>466</v>
      </c>
      <c r="H437" t="s">
        <v>484</v>
      </c>
      <c r="I437">
        <v>3526</v>
      </c>
      <c r="J437">
        <v>0.93</v>
      </c>
      <c r="K437">
        <v>3279.18</v>
      </c>
      <c r="L437">
        <v>0.56999999999999995</v>
      </c>
      <c r="M437">
        <v>2009.82</v>
      </c>
      <c r="N437">
        <v>1269.3599999999999</v>
      </c>
    </row>
    <row r="438" spans="1:14" x14ac:dyDescent="0.25">
      <c r="A438">
        <v>437</v>
      </c>
      <c r="B438" t="s">
        <v>160</v>
      </c>
      <c r="C438" t="str">
        <f t="shared" si="6"/>
        <v>Aug</v>
      </c>
      <c r="D438">
        <f>YEAR(SalesData[[#This Row],[Date]])</f>
        <v>2024</v>
      </c>
      <c r="E438" t="s">
        <v>365</v>
      </c>
      <c r="F438" t="s">
        <v>369</v>
      </c>
      <c r="G438" t="s">
        <v>373</v>
      </c>
      <c r="H438" t="s">
        <v>471</v>
      </c>
      <c r="I438">
        <v>1004</v>
      </c>
      <c r="J438">
        <v>0.91</v>
      </c>
      <c r="K438">
        <v>913.64</v>
      </c>
      <c r="L438">
        <v>0.7</v>
      </c>
      <c r="M438">
        <v>702.8</v>
      </c>
      <c r="N438">
        <v>210.84</v>
      </c>
    </row>
    <row r="439" spans="1:14" x14ac:dyDescent="0.25">
      <c r="A439">
        <v>438</v>
      </c>
      <c r="B439" t="s">
        <v>281</v>
      </c>
      <c r="C439" t="str">
        <f t="shared" si="6"/>
        <v>Feb</v>
      </c>
      <c r="D439">
        <f>YEAR(SalesData[[#This Row],[Date]])</f>
        <v>2024</v>
      </c>
      <c r="E439" t="s">
        <v>365</v>
      </c>
      <c r="F439" t="s">
        <v>367</v>
      </c>
      <c r="G439" t="s">
        <v>470</v>
      </c>
      <c r="H439" t="s">
        <v>481</v>
      </c>
      <c r="I439">
        <v>2363</v>
      </c>
      <c r="J439">
        <v>1.19</v>
      </c>
      <c r="K439">
        <v>2811.97</v>
      </c>
      <c r="L439">
        <v>0.96</v>
      </c>
      <c r="M439">
        <v>2268.48</v>
      </c>
      <c r="N439">
        <v>543.49</v>
      </c>
    </row>
    <row r="440" spans="1:14" x14ac:dyDescent="0.25">
      <c r="A440">
        <v>439</v>
      </c>
      <c r="B440" t="s">
        <v>86</v>
      </c>
      <c r="C440" t="str">
        <f t="shared" si="6"/>
        <v>Sep</v>
      </c>
      <c r="D440">
        <f>YEAR(SalesData[[#This Row],[Date]])</f>
        <v>2024</v>
      </c>
      <c r="E440" t="s">
        <v>364</v>
      </c>
      <c r="F440" t="s">
        <v>369</v>
      </c>
      <c r="G440" t="s">
        <v>415</v>
      </c>
      <c r="H440" t="s">
        <v>477</v>
      </c>
      <c r="I440">
        <v>4401</v>
      </c>
      <c r="J440">
        <v>1.01</v>
      </c>
      <c r="K440">
        <v>4445.01</v>
      </c>
      <c r="L440">
        <v>0.71</v>
      </c>
      <c r="M440">
        <v>3124.71</v>
      </c>
      <c r="N440">
        <v>1320.3</v>
      </c>
    </row>
    <row r="441" spans="1:14" x14ac:dyDescent="0.25">
      <c r="A441">
        <v>440</v>
      </c>
      <c r="B441" t="s">
        <v>164</v>
      </c>
      <c r="C441" t="str">
        <f t="shared" si="6"/>
        <v>Dec</v>
      </c>
      <c r="D441">
        <f>YEAR(SalesData[[#This Row],[Date]])</f>
        <v>2024</v>
      </c>
      <c r="E441" t="s">
        <v>366</v>
      </c>
      <c r="F441" t="s">
        <v>367</v>
      </c>
      <c r="G441" t="s">
        <v>459</v>
      </c>
      <c r="H441" t="s">
        <v>473</v>
      </c>
      <c r="I441">
        <v>1916</v>
      </c>
      <c r="J441">
        <v>1.46</v>
      </c>
      <c r="K441">
        <v>2797.36</v>
      </c>
      <c r="L441">
        <v>0.94</v>
      </c>
      <c r="M441">
        <v>1801.04</v>
      </c>
      <c r="N441">
        <v>996.32</v>
      </c>
    </row>
    <row r="442" spans="1:14" x14ac:dyDescent="0.25">
      <c r="A442">
        <v>441</v>
      </c>
      <c r="B442" t="s">
        <v>148</v>
      </c>
      <c r="C442" t="str">
        <f t="shared" si="6"/>
        <v>Apr</v>
      </c>
      <c r="D442">
        <f>YEAR(SalesData[[#This Row],[Date]])</f>
        <v>2024</v>
      </c>
      <c r="E442" t="s">
        <v>366</v>
      </c>
      <c r="F442" t="s">
        <v>368</v>
      </c>
      <c r="G442" t="s">
        <v>377</v>
      </c>
      <c r="H442" t="s">
        <v>481</v>
      </c>
      <c r="I442">
        <v>1141</v>
      </c>
      <c r="J442">
        <v>1.49</v>
      </c>
      <c r="K442">
        <v>1700.09</v>
      </c>
      <c r="L442">
        <v>1.06</v>
      </c>
      <c r="M442">
        <v>1209.46</v>
      </c>
      <c r="N442">
        <v>490.63</v>
      </c>
    </row>
    <row r="443" spans="1:14" x14ac:dyDescent="0.25">
      <c r="A443">
        <v>442</v>
      </c>
      <c r="B443" t="s">
        <v>262</v>
      </c>
      <c r="C443" t="str">
        <f t="shared" si="6"/>
        <v>Nov</v>
      </c>
      <c r="D443">
        <f>YEAR(SalesData[[#This Row],[Date]])</f>
        <v>2024</v>
      </c>
      <c r="E443" t="s">
        <v>365</v>
      </c>
      <c r="F443" t="s">
        <v>368</v>
      </c>
      <c r="G443" t="s">
        <v>404</v>
      </c>
      <c r="H443" t="s">
        <v>486</v>
      </c>
      <c r="I443">
        <v>1212</v>
      </c>
      <c r="J443">
        <v>1.07</v>
      </c>
      <c r="K443">
        <v>1296.8399999999999</v>
      </c>
      <c r="L443">
        <v>0.75</v>
      </c>
      <c r="M443">
        <v>909</v>
      </c>
      <c r="N443">
        <v>387.84</v>
      </c>
    </row>
    <row r="444" spans="1:14" x14ac:dyDescent="0.25">
      <c r="A444">
        <v>443</v>
      </c>
      <c r="B444" t="s">
        <v>88</v>
      </c>
      <c r="C444" t="str">
        <f t="shared" si="6"/>
        <v>Jun</v>
      </c>
      <c r="D444">
        <f>YEAR(SalesData[[#This Row],[Date]])</f>
        <v>2024</v>
      </c>
      <c r="E444" t="s">
        <v>364</v>
      </c>
      <c r="F444" t="s">
        <v>370</v>
      </c>
      <c r="G444" t="s">
        <v>447</v>
      </c>
      <c r="H444" t="s">
        <v>489</v>
      </c>
      <c r="I444">
        <v>4780</v>
      </c>
      <c r="J444">
        <v>1.35</v>
      </c>
      <c r="K444">
        <v>6453</v>
      </c>
      <c r="L444">
        <v>0.85</v>
      </c>
      <c r="M444">
        <v>4063</v>
      </c>
      <c r="N444">
        <v>2390</v>
      </c>
    </row>
    <row r="445" spans="1:14" x14ac:dyDescent="0.25">
      <c r="A445">
        <v>444</v>
      </c>
      <c r="B445" t="s">
        <v>166</v>
      </c>
      <c r="C445" t="str">
        <f t="shared" si="6"/>
        <v>Mar</v>
      </c>
      <c r="D445">
        <f>YEAR(SalesData[[#This Row],[Date]])</f>
        <v>2024</v>
      </c>
      <c r="E445" t="s">
        <v>363</v>
      </c>
      <c r="F445" t="s">
        <v>368</v>
      </c>
      <c r="G445" t="s">
        <v>450</v>
      </c>
      <c r="H445" t="s">
        <v>479</v>
      </c>
      <c r="I445">
        <v>1327</v>
      </c>
      <c r="J445">
        <v>1.35</v>
      </c>
      <c r="K445">
        <v>1791.45</v>
      </c>
      <c r="L445">
        <v>1.1000000000000001</v>
      </c>
      <c r="M445">
        <v>1459.7</v>
      </c>
      <c r="N445">
        <v>331.75</v>
      </c>
    </row>
    <row r="446" spans="1:14" x14ac:dyDescent="0.25">
      <c r="A446">
        <v>445</v>
      </c>
      <c r="B446" t="s">
        <v>192</v>
      </c>
      <c r="C446" t="str">
        <f t="shared" si="6"/>
        <v>Jun</v>
      </c>
      <c r="D446">
        <f>YEAR(SalesData[[#This Row],[Date]])</f>
        <v>2024</v>
      </c>
      <c r="E446" t="s">
        <v>365</v>
      </c>
      <c r="F446" t="s">
        <v>369</v>
      </c>
      <c r="G446" t="s">
        <v>440</v>
      </c>
      <c r="H446" t="s">
        <v>483</v>
      </c>
      <c r="I446">
        <v>4375</v>
      </c>
      <c r="J446">
        <v>0.83</v>
      </c>
      <c r="K446">
        <v>3631.25</v>
      </c>
      <c r="L446">
        <v>0.56000000000000005</v>
      </c>
      <c r="M446">
        <v>2450</v>
      </c>
      <c r="N446">
        <v>1181.25</v>
      </c>
    </row>
    <row r="447" spans="1:14" x14ac:dyDescent="0.25">
      <c r="A447">
        <v>446</v>
      </c>
      <c r="B447" t="s">
        <v>282</v>
      </c>
      <c r="C447" t="str">
        <f t="shared" si="6"/>
        <v>Mar</v>
      </c>
      <c r="D447">
        <f>YEAR(SalesData[[#This Row],[Date]])</f>
        <v>2024</v>
      </c>
      <c r="E447" t="s">
        <v>363</v>
      </c>
      <c r="F447" t="s">
        <v>369</v>
      </c>
      <c r="G447" t="s">
        <v>455</v>
      </c>
      <c r="H447" t="s">
        <v>487</v>
      </c>
      <c r="I447">
        <v>2446</v>
      </c>
      <c r="J447">
        <v>0.83</v>
      </c>
      <c r="K447">
        <v>2030.18</v>
      </c>
      <c r="L447">
        <v>0.6</v>
      </c>
      <c r="M447">
        <v>1467.6</v>
      </c>
      <c r="N447">
        <v>562.58000000000004</v>
      </c>
    </row>
    <row r="448" spans="1:14" x14ac:dyDescent="0.25">
      <c r="A448">
        <v>447</v>
      </c>
      <c r="B448" t="s">
        <v>217</v>
      </c>
      <c r="C448" t="str">
        <f t="shared" si="6"/>
        <v>May</v>
      </c>
      <c r="D448">
        <f>YEAR(SalesData[[#This Row],[Date]])</f>
        <v>2024</v>
      </c>
      <c r="E448" t="s">
        <v>363</v>
      </c>
      <c r="F448" t="s">
        <v>370</v>
      </c>
      <c r="G448" t="s">
        <v>425</v>
      </c>
      <c r="H448" t="s">
        <v>482</v>
      </c>
      <c r="I448">
        <v>3047</v>
      </c>
      <c r="J448">
        <v>1</v>
      </c>
      <c r="K448">
        <v>3047</v>
      </c>
      <c r="L448">
        <v>0.72</v>
      </c>
      <c r="M448">
        <v>2193.84</v>
      </c>
      <c r="N448">
        <v>853.16</v>
      </c>
    </row>
    <row r="449" spans="1:14" x14ac:dyDescent="0.25">
      <c r="A449">
        <v>448</v>
      </c>
      <c r="B449" t="s">
        <v>70</v>
      </c>
      <c r="C449" t="str">
        <f t="shared" si="6"/>
        <v>Dec</v>
      </c>
      <c r="D449">
        <f>YEAR(SalesData[[#This Row],[Date]])</f>
        <v>2024</v>
      </c>
      <c r="E449" t="s">
        <v>366</v>
      </c>
      <c r="F449" t="s">
        <v>367</v>
      </c>
      <c r="G449" t="s">
        <v>457</v>
      </c>
      <c r="H449" t="s">
        <v>482</v>
      </c>
      <c r="I449">
        <v>4129</v>
      </c>
      <c r="J449">
        <v>1.34</v>
      </c>
      <c r="K449">
        <v>5532.86</v>
      </c>
      <c r="L449">
        <v>0.91</v>
      </c>
      <c r="M449">
        <v>3757.39</v>
      </c>
      <c r="N449">
        <v>1775.47</v>
      </c>
    </row>
    <row r="450" spans="1:14" x14ac:dyDescent="0.25">
      <c r="A450">
        <v>449</v>
      </c>
      <c r="B450" t="s">
        <v>190</v>
      </c>
      <c r="C450" t="str">
        <f t="shared" ref="C450:C513" si="7">TEXT(B450,"mmm")</f>
        <v>Aug</v>
      </c>
      <c r="D450">
        <f>YEAR(SalesData[[#This Row],[Date]])</f>
        <v>2024</v>
      </c>
      <c r="E450" t="s">
        <v>366</v>
      </c>
      <c r="F450" t="s">
        <v>367</v>
      </c>
      <c r="G450" t="s">
        <v>396</v>
      </c>
      <c r="H450" t="s">
        <v>485</v>
      </c>
      <c r="I450">
        <v>3835</v>
      </c>
      <c r="J450">
        <v>1.32</v>
      </c>
      <c r="K450">
        <v>5062.2</v>
      </c>
      <c r="L450">
        <v>1.04</v>
      </c>
      <c r="M450">
        <v>3988.4</v>
      </c>
      <c r="N450">
        <v>1073.8</v>
      </c>
    </row>
    <row r="451" spans="1:14" x14ac:dyDescent="0.25">
      <c r="A451">
        <v>450</v>
      </c>
      <c r="B451" t="s">
        <v>163</v>
      </c>
      <c r="C451" t="str">
        <f t="shared" si="7"/>
        <v>Jul</v>
      </c>
      <c r="D451">
        <f>YEAR(SalesData[[#This Row],[Date]])</f>
        <v>2024</v>
      </c>
      <c r="E451" t="s">
        <v>366</v>
      </c>
      <c r="F451" t="s">
        <v>367</v>
      </c>
      <c r="G451" t="s">
        <v>458</v>
      </c>
      <c r="H451" t="s">
        <v>482</v>
      </c>
      <c r="I451">
        <v>4651</v>
      </c>
      <c r="J451">
        <v>1.08</v>
      </c>
      <c r="K451">
        <v>5023.08</v>
      </c>
      <c r="L451">
        <v>0.86</v>
      </c>
      <c r="M451">
        <v>3999.86</v>
      </c>
      <c r="N451">
        <v>1023.22</v>
      </c>
    </row>
    <row r="452" spans="1:14" x14ac:dyDescent="0.25">
      <c r="A452">
        <v>451</v>
      </c>
      <c r="B452" t="s">
        <v>283</v>
      </c>
      <c r="C452" t="str">
        <f t="shared" si="7"/>
        <v>Sep</v>
      </c>
      <c r="D452">
        <f>YEAR(SalesData[[#This Row],[Date]])</f>
        <v>2024</v>
      </c>
      <c r="E452" t="s">
        <v>366</v>
      </c>
      <c r="F452" t="s">
        <v>367</v>
      </c>
      <c r="G452" t="s">
        <v>395</v>
      </c>
      <c r="H452" t="s">
        <v>485</v>
      </c>
      <c r="I452">
        <v>972</v>
      </c>
      <c r="J452">
        <v>0.97</v>
      </c>
      <c r="K452">
        <v>942.84</v>
      </c>
      <c r="L452">
        <v>0.69</v>
      </c>
      <c r="M452">
        <v>670.68</v>
      </c>
      <c r="N452">
        <v>272.16000000000003</v>
      </c>
    </row>
    <row r="453" spans="1:14" x14ac:dyDescent="0.25">
      <c r="A453">
        <v>452</v>
      </c>
      <c r="B453" t="s">
        <v>284</v>
      </c>
      <c r="C453" t="str">
        <f t="shared" si="7"/>
        <v>Jul</v>
      </c>
      <c r="D453">
        <f>YEAR(SalesData[[#This Row],[Date]])</f>
        <v>2024</v>
      </c>
      <c r="E453" t="s">
        <v>365</v>
      </c>
      <c r="F453" t="s">
        <v>368</v>
      </c>
      <c r="G453" t="s">
        <v>466</v>
      </c>
      <c r="H453" t="s">
        <v>473</v>
      </c>
      <c r="I453">
        <v>4637</v>
      </c>
      <c r="J453">
        <v>1.08</v>
      </c>
      <c r="K453">
        <v>5007.96</v>
      </c>
      <c r="L453">
        <v>0.9</v>
      </c>
      <c r="M453">
        <v>4173.3</v>
      </c>
      <c r="N453">
        <v>834.66</v>
      </c>
    </row>
    <row r="454" spans="1:14" x14ac:dyDescent="0.25">
      <c r="A454">
        <v>453</v>
      </c>
      <c r="B454" t="s">
        <v>201</v>
      </c>
      <c r="C454" t="str">
        <f t="shared" si="7"/>
        <v>Dec</v>
      </c>
      <c r="D454">
        <f>YEAR(SalesData[[#This Row],[Date]])</f>
        <v>2024</v>
      </c>
      <c r="E454" t="s">
        <v>366</v>
      </c>
      <c r="F454" t="s">
        <v>367</v>
      </c>
      <c r="G454" t="s">
        <v>466</v>
      </c>
      <c r="H454" t="s">
        <v>483</v>
      </c>
      <c r="I454">
        <v>4154</v>
      </c>
      <c r="J454">
        <v>0.92</v>
      </c>
      <c r="K454">
        <v>3821.68</v>
      </c>
      <c r="L454">
        <v>0.75</v>
      </c>
      <c r="M454">
        <v>3115.5</v>
      </c>
      <c r="N454">
        <v>706.18</v>
      </c>
    </row>
    <row r="455" spans="1:14" x14ac:dyDescent="0.25">
      <c r="A455">
        <v>454</v>
      </c>
      <c r="B455" t="s">
        <v>285</v>
      </c>
      <c r="C455" t="str">
        <f t="shared" si="7"/>
        <v>Oct</v>
      </c>
      <c r="D455">
        <f>YEAR(SalesData[[#This Row],[Date]])</f>
        <v>2024</v>
      </c>
      <c r="E455" t="s">
        <v>365</v>
      </c>
      <c r="F455" t="s">
        <v>370</v>
      </c>
      <c r="G455" t="s">
        <v>406</v>
      </c>
      <c r="H455" t="s">
        <v>471</v>
      </c>
      <c r="I455">
        <v>1240</v>
      </c>
      <c r="J455">
        <v>1</v>
      </c>
      <c r="K455">
        <v>1240</v>
      </c>
      <c r="L455">
        <v>0.7</v>
      </c>
      <c r="M455">
        <v>868</v>
      </c>
      <c r="N455">
        <v>372</v>
      </c>
    </row>
    <row r="456" spans="1:14" x14ac:dyDescent="0.25">
      <c r="A456">
        <v>455</v>
      </c>
      <c r="B456" t="s">
        <v>205</v>
      </c>
      <c r="C456" t="str">
        <f t="shared" si="7"/>
        <v>Mar</v>
      </c>
      <c r="D456">
        <f>YEAR(SalesData[[#This Row],[Date]])</f>
        <v>2024</v>
      </c>
      <c r="E456" t="s">
        <v>366</v>
      </c>
      <c r="F456" t="s">
        <v>368</v>
      </c>
      <c r="G456" t="s">
        <v>431</v>
      </c>
      <c r="H456" t="s">
        <v>477</v>
      </c>
      <c r="I456">
        <v>2193</v>
      </c>
      <c r="J456">
        <v>0.99</v>
      </c>
      <c r="K456">
        <v>2171.0700000000002</v>
      </c>
      <c r="L456">
        <v>0.7</v>
      </c>
      <c r="M456">
        <v>1535.1</v>
      </c>
      <c r="N456">
        <v>635.97</v>
      </c>
    </row>
    <row r="457" spans="1:14" x14ac:dyDescent="0.25">
      <c r="A457">
        <v>456</v>
      </c>
      <c r="B457" t="s">
        <v>81</v>
      </c>
      <c r="C457" t="str">
        <f t="shared" si="7"/>
        <v>Jan</v>
      </c>
      <c r="D457">
        <f>YEAR(SalesData[[#This Row],[Date]])</f>
        <v>2024</v>
      </c>
      <c r="E457" t="s">
        <v>364</v>
      </c>
      <c r="F457" t="s">
        <v>367</v>
      </c>
      <c r="G457" t="s">
        <v>410</v>
      </c>
      <c r="H457" t="s">
        <v>480</v>
      </c>
      <c r="I457">
        <v>569</v>
      </c>
      <c r="J457">
        <v>0.96</v>
      </c>
      <c r="K457">
        <v>546.24</v>
      </c>
      <c r="L457">
        <v>0.72</v>
      </c>
      <c r="M457">
        <v>409.68</v>
      </c>
      <c r="N457">
        <v>136.56</v>
      </c>
    </row>
    <row r="458" spans="1:14" x14ac:dyDescent="0.25">
      <c r="A458">
        <v>457</v>
      </c>
      <c r="B458" t="s">
        <v>286</v>
      </c>
      <c r="C458" t="str">
        <f t="shared" si="7"/>
        <v>Jun</v>
      </c>
      <c r="D458">
        <f>YEAR(SalesData[[#This Row],[Date]])</f>
        <v>2024</v>
      </c>
      <c r="E458" t="s">
        <v>364</v>
      </c>
      <c r="F458" t="s">
        <v>370</v>
      </c>
      <c r="G458" t="s">
        <v>464</v>
      </c>
      <c r="H458" t="s">
        <v>475</v>
      </c>
      <c r="I458">
        <v>4260</v>
      </c>
      <c r="J458">
        <v>0.98</v>
      </c>
      <c r="K458">
        <v>4174.8</v>
      </c>
      <c r="L458">
        <v>0.7</v>
      </c>
      <c r="M458">
        <v>2982</v>
      </c>
      <c r="N458">
        <v>1192.8</v>
      </c>
    </row>
    <row r="459" spans="1:14" x14ac:dyDescent="0.25">
      <c r="A459">
        <v>458</v>
      </c>
      <c r="B459" t="s">
        <v>13</v>
      </c>
      <c r="C459" t="str">
        <f t="shared" si="7"/>
        <v>Dec</v>
      </c>
      <c r="D459">
        <f>YEAR(SalesData[[#This Row],[Date]])</f>
        <v>2024</v>
      </c>
      <c r="E459" t="s">
        <v>363</v>
      </c>
      <c r="F459" t="s">
        <v>369</v>
      </c>
      <c r="G459" t="s">
        <v>398</v>
      </c>
      <c r="H459" t="s">
        <v>490</v>
      </c>
      <c r="I459">
        <v>3565</v>
      </c>
      <c r="J459">
        <v>1.19</v>
      </c>
      <c r="K459">
        <v>4242.3500000000004</v>
      </c>
      <c r="L459">
        <v>0.89</v>
      </c>
      <c r="M459">
        <v>3172.85</v>
      </c>
      <c r="N459">
        <v>1069.5</v>
      </c>
    </row>
    <row r="460" spans="1:14" x14ac:dyDescent="0.25">
      <c r="A460">
        <v>459</v>
      </c>
      <c r="B460" t="s">
        <v>287</v>
      </c>
      <c r="C460" t="str">
        <f t="shared" si="7"/>
        <v>May</v>
      </c>
      <c r="D460">
        <f>YEAR(SalesData[[#This Row],[Date]])</f>
        <v>2024</v>
      </c>
      <c r="E460" t="s">
        <v>363</v>
      </c>
      <c r="F460" t="s">
        <v>370</v>
      </c>
      <c r="G460" t="s">
        <v>468</v>
      </c>
      <c r="H460" t="s">
        <v>486</v>
      </c>
      <c r="I460">
        <v>3254</v>
      </c>
      <c r="J460">
        <v>1.49</v>
      </c>
      <c r="K460">
        <v>4848.46</v>
      </c>
      <c r="L460">
        <v>1.1299999999999999</v>
      </c>
      <c r="M460">
        <v>3677.02</v>
      </c>
      <c r="N460">
        <v>1171.44</v>
      </c>
    </row>
    <row r="461" spans="1:14" x14ac:dyDescent="0.25">
      <c r="A461">
        <v>460</v>
      </c>
      <c r="B461" t="s">
        <v>94</v>
      </c>
      <c r="C461" t="str">
        <f t="shared" si="7"/>
        <v>May</v>
      </c>
      <c r="D461">
        <f>YEAR(SalesData[[#This Row],[Date]])</f>
        <v>2024</v>
      </c>
      <c r="E461" t="s">
        <v>365</v>
      </c>
      <c r="F461" t="s">
        <v>370</v>
      </c>
      <c r="G461" t="s">
        <v>395</v>
      </c>
      <c r="H461" t="s">
        <v>474</v>
      </c>
      <c r="I461">
        <v>4737</v>
      </c>
      <c r="J461">
        <v>1.34</v>
      </c>
      <c r="K461">
        <v>6347.58</v>
      </c>
      <c r="L461">
        <v>1.1100000000000001</v>
      </c>
      <c r="M461">
        <v>5258.07</v>
      </c>
      <c r="N461">
        <v>1089.51</v>
      </c>
    </row>
    <row r="462" spans="1:14" x14ac:dyDescent="0.25">
      <c r="A462">
        <v>461</v>
      </c>
      <c r="B462" t="s">
        <v>288</v>
      </c>
      <c r="C462" t="str">
        <f t="shared" si="7"/>
        <v>Nov</v>
      </c>
      <c r="D462">
        <f>YEAR(SalesData[[#This Row],[Date]])</f>
        <v>2024</v>
      </c>
      <c r="E462" t="s">
        <v>365</v>
      </c>
      <c r="F462" t="s">
        <v>369</v>
      </c>
      <c r="G462" t="s">
        <v>411</v>
      </c>
      <c r="H462" t="s">
        <v>474</v>
      </c>
      <c r="I462">
        <v>708</v>
      </c>
      <c r="J462">
        <v>1.26</v>
      </c>
      <c r="K462">
        <v>892.08</v>
      </c>
      <c r="L462">
        <v>1.07</v>
      </c>
      <c r="M462">
        <v>757.56</v>
      </c>
      <c r="N462">
        <v>134.52000000000001</v>
      </c>
    </row>
    <row r="463" spans="1:14" x14ac:dyDescent="0.25">
      <c r="A463">
        <v>462</v>
      </c>
      <c r="B463" t="s">
        <v>289</v>
      </c>
      <c r="C463" t="str">
        <f t="shared" si="7"/>
        <v>May</v>
      </c>
      <c r="D463">
        <f>YEAR(SalesData[[#This Row],[Date]])</f>
        <v>2024</v>
      </c>
      <c r="E463" t="s">
        <v>364</v>
      </c>
      <c r="F463" t="s">
        <v>369</v>
      </c>
      <c r="G463" t="s">
        <v>440</v>
      </c>
      <c r="H463" t="s">
        <v>478</v>
      </c>
      <c r="I463">
        <v>2055</v>
      </c>
      <c r="J463">
        <v>1.04</v>
      </c>
      <c r="K463">
        <v>2137.1999999999998</v>
      </c>
      <c r="L463">
        <v>0.81</v>
      </c>
      <c r="M463">
        <v>1664.55</v>
      </c>
      <c r="N463">
        <v>472.65</v>
      </c>
    </row>
    <row r="464" spans="1:14" x14ac:dyDescent="0.25">
      <c r="A464">
        <v>463</v>
      </c>
      <c r="B464" t="s">
        <v>98</v>
      </c>
      <c r="C464" t="str">
        <f t="shared" si="7"/>
        <v>Dec</v>
      </c>
      <c r="D464">
        <f>YEAR(SalesData[[#This Row],[Date]])</f>
        <v>2024</v>
      </c>
      <c r="E464" t="s">
        <v>365</v>
      </c>
      <c r="F464" t="s">
        <v>369</v>
      </c>
      <c r="G464" t="s">
        <v>405</v>
      </c>
      <c r="H464" t="s">
        <v>482</v>
      </c>
      <c r="I464">
        <v>1892</v>
      </c>
      <c r="J464">
        <v>1.39</v>
      </c>
      <c r="K464">
        <v>2629.88</v>
      </c>
      <c r="L464">
        <v>1.1399999999999999</v>
      </c>
      <c r="M464">
        <v>2156.88</v>
      </c>
      <c r="N464">
        <v>473</v>
      </c>
    </row>
    <row r="465" spans="1:14" x14ac:dyDescent="0.25">
      <c r="A465">
        <v>464</v>
      </c>
      <c r="B465" t="s">
        <v>121</v>
      </c>
      <c r="C465" t="str">
        <f t="shared" si="7"/>
        <v>Apr</v>
      </c>
      <c r="D465">
        <f>YEAR(SalesData[[#This Row],[Date]])</f>
        <v>2024</v>
      </c>
      <c r="E465" t="s">
        <v>363</v>
      </c>
      <c r="F465" t="s">
        <v>370</v>
      </c>
      <c r="G465" t="s">
        <v>393</v>
      </c>
      <c r="H465" t="s">
        <v>474</v>
      </c>
      <c r="I465">
        <v>2618</v>
      </c>
      <c r="J465">
        <v>1.31</v>
      </c>
      <c r="K465">
        <v>3429.58</v>
      </c>
      <c r="L465">
        <v>0.97</v>
      </c>
      <c r="M465">
        <v>2539.46</v>
      </c>
      <c r="N465">
        <v>890.12</v>
      </c>
    </row>
    <row r="466" spans="1:14" x14ac:dyDescent="0.25">
      <c r="A466">
        <v>465</v>
      </c>
      <c r="B466" t="s">
        <v>290</v>
      </c>
      <c r="C466" t="str">
        <f t="shared" si="7"/>
        <v>Apr</v>
      </c>
      <c r="D466">
        <f>YEAR(SalesData[[#This Row],[Date]])</f>
        <v>2024</v>
      </c>
      <c r="E466" t="s">
        <v>363</v>
      </c>
      <c r="F466" t="s">
        <v>370</v>
      </c>
      <c r="G466" t="s">
        <v>373</v>
      </c>
      <c r="H466" t="s">
        <v>475</v>
      </c>
      <c r="I466">
        <v>2329</v>
      </c>
      <c r="J466">
        <v>1.32</v>
      </c>
      <c r="K466">
        <v>3074.28</v>
      </c>
      <c r="L466">
        <v>0.89</v>
      </c>
      <c r="M466">
        <v>2072.81</v>
      </c>
      <c r="N466">
        <v>1001.47</v>
      </c>
    </row>
    <row r="467" spans="1:14" x14ac:dyDescent="0.25">
      <c r="A467">
        <v>466</v>
      </c>
      <c r="B467" t="s">
        <v>33</v>
      </c>
      <c r="C467" t="str">
        <f t="shared" si="7"/>
        <v>Jun</v>
      </c>
      <c r="D467">
        <f>YEAR(SalesData[[#This Row],[Date]])</f>
        <v>2024</v>
      </c>
      <c r="E467" t="s">
        <v>365</v>
      </c>
      <c r="F467" t="s">
        <v>370</v>
      </c>
      <c r="G467" t="s">
        <v>461</v>
      </c>
      <c r="H467" t="s">
        <v>482</v>
      </c>
      <c r="I467">
        <v>4299</v>
      </c>
      <c r="J467">
        <v>1.4</v>
      </c>
      <c r="K467">
        <v>6018.6</v>
      </c>
      <c r="L467">
        <v>1</v>
      </c>
      <c r="M467">
        <v>4299</v>
      </c>
      <c r="N467">
        <v>1719.6</v>
      </c>
    </row>
    <row r="468" spans="1:14" x14ac:dyDescent="0.25">
      <c r="A468">
        <v>467</v>
      </c>
      <c r="B468" t="s">
        <v>49</v>
      </c>
      <c r="C468" t="str">
        <f t="shared" si="7"/>
        <v>Nov</v>
      </c>
      <c r="D468">
        <f>YEAR(SalesData[[#This Row],[Date]])</f>
        <v>2024</v>
      </c>
      <c r="E468" t="s">
        <v>364</v>
      </c>
      <c r="F468" t="s">
        <v>367</v>
      </c>
      <c r="G468" t="s">
        <v>395</v>
      </c>
      <c r="H468" t="s">
        <v>490</v>
      </c>
      <c r="I468">
        <v>1481</v>
      </c>
      <c r="J468">
        <v>1.41</v>
      </c>
      <c r="K468">
        <v>2088.21</v>
      </c>
      <c r="L468">
        <v>0.98</v>
      </c>
      <c r="M468">
        <v>1451.38</v>
      </c>
      <c r="N468">
        <v>636.83000000000004</v>
      </c>
    </row>
    <row r="469" spans="1:14" x14ac:dyDescent="0.25">
      <c r="A469">
        <v>468</v>
      </c>
      <c r="B469" t="s">
        <v>76</v>
      </c>
      <c r="C469" t="str">
        <f t="shared" si="7"/>
        <v>Jun</v>
      </c>
      <c r="D469">
        <f>YEAR(SalesData[[#This Row],[Date]])</f>
        <v>2024</v>
      </c>
      <c r="E469" t="s">
        <v>363</v>
      </c>
      <c r="F469" t="s">
        <v>369</v>
      </c>
      <c r="G469" t="s">
        <v>399</v>
      </c>
      <c r="H469" t="s">
        <v>474</v>
      </c>
      <c r="I469">
        <v>2140</v>
      </c>
      <c r="J469">
        <v>1.04</v>
      </c>
      <c r="K469">
        <v>2225.6</v>
      </c>
      <c r="L469">
        <v>0.88</v>
      </c>
      <c r="M469">
        <v>1883.2</v>
      </c>
      <c r="N469">
        <v>342.4</v>
      </c>
    </row>
    <row r="470" spans="1:14" x14ac:dyDescent="0.25">
      <c r="A470">
        <v>469</v>
      </c>
      <c r="B470" t="s">
        <v>172</v>
      </c>
      <c r="C470" t="str">
        <f t="shared" si="7"/>
        <v>Aug</v>
      </c>
      <c r="D470">
        <f>YEAR(SalesData[[#This Row],[Date]])</f>
        <v>2024</v>
      </c>
      <c r="E470" t="s">
        <v>365</v>
      </c>
      <c r="F470" t="s">
        <v>368</v>
      </c>
      <c r="G470" t="s">
        <v>390</v>
      </c>
      <c r="H470" t="s">
        <v>480</v>
      </c>
      <c r="I470">
        <v>1162</v>
      </c>
      <c r="J470">
        <v>1.1399999999999999</v>
      </c>
      <c r="K470">
        <v>1324.68</v>
      </c>
      <c r="L470">
        <v>0.86</v>
      </c>
      <c r="M470">
        <v>999.32</v>
      </c>
      <c r="N470">
        <v>325.36</v>
      </c>
    </row>
    <row r="471" spans="1:14" x14ac:dyDescent="0.25">
      <c r="A471">
        <v>470</v>
      </c>
      <c r="B471" t="s">
        <v>273</v>
      </c>
      <c r="C471" t="str">
        <f t="shared" si="7"/>
        <v>Mar</v>
      </c>
      <c r="D471">
        <f>YEAR(SalesData[[#This Row],[Date]])</f>
        <v>2024</v>
      </c>
      <c r="E471" t="s">
        <v>363</v>
      </c>
      <c r="F471" t="s">
        <v>370</v>
      </c>
      <c r="G471" t="s">
        <v>398</v>
      </c>
      <c r="H471" t="s">
        <v>473</v>
      </c>
      <c r="I471">
        <v>2740</v>
      </c>
      <c r="J471">
        <v>0.95</v>
      </c>
      <c r="K471">
        <v>2603</v>
      </c>
      <c r="L471">
        <v>0.75</v>
      </c>
      <c r="M471">
        <v>2055</v>
      </c>
      <c r="N471">
        <v>548</v>
      </c>
    </row>
    <row r="472" spans="1:14" x14ac:dyDescent="0.25">
      <c r="A472">
        <v>471</v>
      </c>
      <c r="B472" t="s">
        <v>278</v>
      </c>
      <c r="C472" t="str">
        <f t="shared" si="7"/>
        <v>Oct</v>
      </c>
      <c r="D472">
        <f>YEAR(SalesData[[#This Row],[Date]])</f>
        <v>2024</v>
      </c>
      <c r="E472" t="s">
        <v>364</v>
      </c>
      <c r="F472" t="s">
        <v>368</v>
      </c>
      <c r="G472" t="s">
        <v>424</v>
      </c>
      <c r="H472" t="s">
        <v>486</v>
      </c>
      <c r="I472">
        <v>1560</v>
      </c>
      <c r="J472">
        <v>1.23</v>
      </c>
      <c r="K472">
        <v>1918.8</v>
      </c>
      <c r="L472">
        <v>0.93</v>
      </c>
      <c r="M472">
        <v>1450.8</v>
      </c>
      <c r="N472">
        <v>468</v>
      </c>
    </row>
    <row r="473" spans="1:14" x14ac:dyDescent="0.25">
      <c r="A473">
        <v>472</v>
      </c>
      <c r="B473" t="s">
        <v>108</v>
      </c>
      <c r="C473" t="str">
        <f t="shared" si="7"/>
        <v>Jul</v>
      </c>
      <c r="D473">
        <f>YEAR(SalesData[[#This Row],[Date]])</f>
        <v>2024</v>
      </c>
      <c r="E473" t="s">
        <v>364</v>
      </c>
      <c r="F473" t="s">
        <v>369</v>
      </c>
      <c r="G473" t="s">
        <v>440</v>
      </c>
      <c r="H473" t="s">
        <v>472</v>
      </c>
      <c r="I473">
        <v>809</v>
      </c>
      <c r="J473">
        <v>1.17</v>
      </c>
      <c r="K473">
        <v>946.53</v>
      </c>
      <c r="L473">
        <v>0.92</v>
      </c>
      <c r="M473">
        <v>744.28</v>
      </c>
      <c r="N473">
        <v>202.25</v>
      </c>
    </row>
    <row r="474" spans="1:14" x14ac:dyDescent="0.25">
      <c r="A474">
        <v>473</v>
      </c>
      <c r="B474" t="s">
        <v>38</v>
      </c>
      <c r="C474" t="str">
        <f t="shared" si="7"/>
        <v>Jan</v>
      </c>
      <c r="D474">
        <f>YEAR(SalesData[[#This Row],[Date]])</f>
        <v>2024</v>
      </c>
      <c r="E474" t="s">
        <v>366</v>
      </c>
      <c r="F474" t="s">
        <v>370</v>
      </c>
      <c r="G474" t="s">
        <v>467</v>
      </c>
      <c r="H474" t="s">
        <v>472</v>
      </c>
      <c r="I474">
        <v>2538</v>
      </c>
      <c r="J474">
        <v>0.96</v>
      </c>
      <c r="K474">
        <v>2436.48</v>
      </c>
      <c r="L474">
        <v>0.79</v>
      </c>
      <c r="M474">
        <v>2005.02</v>
      </c>
      <c r="N474">
        <v>431.46</v>
      </c>
    </row>
    <row r="475" spans="1:14" x14ac:dyDescent="0.25">
      <c r="A475">
        <v>474</v>
      </c>
      <c r="B475" t="s">
        <v>83</v>
      </c>
      <c r="C475" t="str">
        <f t="shared" si="7"/>
        <v>Jun</v>
      </c>
      <c r="D475">
        <f>YEAR(SalesData[[#This Row],[Date]])</f>
        <v>2024</v>
      </c>
      <c r="E475" t="s">
        <v>363</v>
      </c>
      <c r="F475" t="s">
        <v>368</v>
      </c>
      <c r="G475" t="s">
        <v>440</v>
      </c>
      <c r="H475" t="s">
        <v>490</v>
      </c>
      <c r="I475">
        <v>3007</v>
      </c>
      <c r="J475">
        <v>0.92</v>
      </c>
      <c r="K475">
        <v>2766.44</v>
      </c>
      <c r="L475">
        <v>0.74</v>
      </c>
      <c r="M475">
        <v>2225.1799999999998</v>
      </c>
      <c r="N475">
        <v>541.26</v>
      </c>
    </row>
    <row r="476" spans="1:14" x14ac:dyDescent="0.25">
      <c r="A476">
        <v>475</v>
      </c>
      <c r="B476" t="s">
        <v>76</v>
      </c>
      <c r="C476" t="str">
        <f t="shared" si="7"/>
        <v>Jun</v>
      </c>
      <c r="D476">
        <f>YEAR(SalesData[[#This Row],[Date]])</f>
        <v>2024</v>
      </c>
      <c r="E476" t="s">
        <v>364</v>
      </c>
      <c r="F476" t="s">
        <v>370</v>
      </c>
      <c r="G476" t="s">
        <v>469</v>
      </c>
      <c r="H476" t="s">
        <v>490</v>
      </c>
      <c r="I476">
        <v>4793</v>
      </c>
      <c r="J476">
        <v>1.04</v>
      </c>
      <c r="K476">
        <v>4984.72</v>
      </c>
      <c r="L476">
        <v>0.85</v>
      </c>
      <c r="M476">
        <v>4074.05</v>
      </c>
      <c r="N476">
        <v>910.67</v>
      </c>
    </row>
    <row r="477" spans="1:14" x14ac:dyDescent="0.25">
      <c r="A477">
        <v>476</v>
      </c>
      <c r="B477" t="s">
        <v>209</v>
      </c>
      <c r="C477" t="str">
        <f t="shared" si="7"/>
        <v>Mar</v>
      </c>
      <c r="D477">
        <f>YEAR(SalesData[[#This Row],[Date]])</f>
        <v>2024</v>
      </c>
      <c r="E477" t="s">
        <v>364</v>
      </c>
      <c r="F477" t="s">
        <v>370</v>
      </c>
      <c r="G477" t="s">
        <v>375</v>
      </c>
      <c r="H477" t="s">
        <v>485</v>
      </c>
      <c r="I477">
        <v>1850</v>
      </c>
      <c r="J477">
        <v>1.46</v>
      </c>
      <c r="K477">
        <v>2701</v>
      </c>
      <c r="L477">
        <v>1.21</v>
      </c>
      <c r="M477">
        <v>2238.5</v>
      </c>
      <c r="N477">
        <v>462.5</v>
      </c>
    </row>
    <row r="478" spans="1:14" x14ac:dyDescent="0.25">
      <c r="A478">
        <v>477</v>
      </c>
      <c r="B478" t="s">
        <v>108</v>
      </c>
      <c r="C478" t="str">
        <f t="shared" si="7"/>
        <v>Jul</v>
      </c>
      <c r="D478">
        <f>YEAR(SalesData[[#This Row],[Date]])</f>
        <v>2024</v>
      </c>
      <c r="E478" t="s">
        <v>366</v>
      </c>
      <c r="F478" t="s">
        <v>367</v>
      </c>
      <c r="G478" t="s">
        <v>373</v>
      </c>
      <c r="H478" t="s">
        <v>474</v>
      </c>
      <c r="I478">
        <v>2230</v>
      </c>
      <c r="J478">
        <v>1.31</v>
      </c>
      <c r="K478">
        <v>2921.3</v>
      </c>
      <c r="L478">
        <v>0.98</v>
      </c>
      <c r="M478">
        <v>2185.4</v>
      </c>
      <c r="N478">
        <v>735.9</v>
      </c>
    </row>
    <row r="479" spans="1:14" x14ac:dyDescent="0.25">
      <c r="A479">
        <v>478</v>
      </c>
      <c r="B479" t="s">
        <v>66</v>
      </c>
      <c r="C479" t="str">
        <f t="shared" si="7"/>
        <v>Mar</v>
      </c>
      <c r="D479">
        <f>YEAR(SalesData[[#This Row],[Date]])</f>
        <v>2024</v>
      </c>
      <c r="E479" t="s">
        <v>365</v>
      </c>
      <c r="F479" t="s">
        <v>367</v>
      </c>
      <c r="G479" t="s">
        <v>390</v>
      </c>
      <c r="H479" t="s">
        <v>478</v>
      </c>
      <c r="I479">
        <v>3573</v>
      </c>
      <c r="J479">
        <v>1.41</v>
      </c>
      <c r="K479">
        <v>5037.93</v>
      </c>
      <c r="L479">
        <v>0.94</v>
      </c>
      <c r="M479">
        <v>3358.62</v>
      </c>
      <c r="N479">
        <v>1679.31</v>
      </c>
    </row>
    <row r="480" spans="1:14" x14ac:dyDescent="0.25">
      <c r="A480">
        <v>479</v>
      </c>
      <c r="B480" t="s">
        <v>218</v>
      </c>
      <c r="C480" t="str">
        <f t="shared" si="7"/>
        <v>Sep</v>
      </c>
      <c r="D480">
        <f>YEAR(SalesData[[#This Row],[Date]])</f>
        <v>2024</v>
      </c>
      <c r="E480" t="s">
        <v>363</v>
      </c>
      <c r="F480" t="s">
        <v>367</v>
      </c>
      <c r="G480" t="s">
        <v>389</v>
      </c>
      <c r="H480" t="s">
        <v>488</v>
      </c>
      <c r="I480">
        <v>661</v>
      </c>
      <c r="J480">
        <v>0.83</v>
      </c>
      <c r="K480">
        <v>548.63</v>
      </c>
      <c r="L480">
        <v>0.52</v>
      </c>
      <c r="M480">
        <v>343.72</v>
      </c>
      <c r="N480">
        <v>204.91</v>
      </c>
    </row>
    <row r="481" spans="1:14" x14ac:dyDescent="0.25">
      <c r="A481">
        <v>480</v>
      </c>
      <c r="B481" t="s">
        <v>256</v>
      </c>
      <c r="C481" t="str">
        <f t="shared" si="7"/>
        <v>Aug</v>
      </c>
      <c r="D481">
        <f>YEAR(SalesData[[#This Row],[Date]])</f>
        <v>2024</v>
      </c>
      <c r="E481" t="s">
        <v>363</v>
      </c>
      <c r="F481" t="s">
        <v>369</v>
      </c>
      <c r="G481" t="s">
        <v>385</v>
      </c>
      <c r="H481" t="s">
        <v>471</v>
      </c>
      <c r="I481">
        <v>4386</v>
      </c>
      <c r="J481">
        <v>1.29</v>
      </c>
      <c r="K481">
        <v>5657.94</v>
      </c>
      <c r="L481">
        <v>0.84</v>
      </c>
      <c r="M481">
        <v>3684.24</v>
      </c>
      <c r="N481">
        <v>1973.7</v>
      </c>
    </row>
    <row r="482" spans="1:14" x14ac:dyDescent="0.25">
      <c r="A482">
        <v>481</v>
      </c>
      <c r="B482" t="s">
        <v>98</v>
      </c>
      <c r="C482" t="str">
        <f t="shared" si="7"/>
        <v>Dec</v>
      </c>
      <c r="D482">
        <f>YEAR(SalesData[[#This Row],[Date]])</f>
        <v>2024</v>
      </c>
      <c r="E482" t="s">
        <v>365</v>
      </c>
      <c r="F482" t="s">
        <v>367</v>
      </c>
      <c r="G482" t="s">
        <v>419</v>
      </c>
      <c r="H482" t="s">
        <v>488</v>
      </c>
      <c r="I482">
        <v>4762</v>
      </c>
      <c r="J482">
        <v>0.99</v>
      </c>
      <c r="K482">
        <v>4714.38</v>
      </c>
      <c r="L482">
        <v>0.74</v>
      </c>
      <c r="M482">
        <v>3523.88</v>
      </c>
      <c r="N482">
        <v>1190.5</v>
      </c>
    </row>
    <row r="483" spans="1:14" x14ac:dyDescent="0.25">
      <c r="A483">
        <v>482</v>
      </c>
      <c r="B483" t="s">
        <v>195</v>
      </c>
      <c r="C483" t="str">
        <f t="shared" si="7"/>
        <v>Mar</v>
      </c>
      <c r="D483">
        <f>YEAR(SalesData[[#This Row],[Date]])</f>
        <v>2024</v>
      </c>
      <c r="E483" t="s">
        <v>363</v>
      </c>
      <c r="F483" t="s">
        <v>369</v>
      </c>
      <c r="G483" t="s">
        <v>417</v>
      </c>
      <c r="H483" t="s">
        <v>489</v>
      </c>
      <c r="I483">
        <v>1464</v>
      </c>
      <c r="J483">
        <v>1</v>
      </c>
      <c r="K483">
        <v>1464</v>
      </c>
      <c r="L483">
        <v>0.8</v>
      </c>
      <c r="M483">
        <v>1171.2</v>
      </c>
      <c r="N483">
        <v>292.8</v>
      </c>
    </row>
    <row r="484" spans="1:14" x14ac:dyDescent="0.25">
      <c r="A484">
        <v>483</v>
      </c>
      <c r="B484" t="s">
        <v>276</v>
      </c>
      <c r="C484" t="str">
        <f t="shared" si="7"/>
        <v>Sep</v>
      </c>
      <c r="D484">
        <f>YEAR(SalesData[[#This Row],[Date]])</f>
        <v>2024</v>
      </c>
      <c r="E484" t="s">
        <v>366</v>
      </c>
      <c r="F484" t="s">
        <v>368</v>
      </c>
      <c r="G484" t="s">
        <v>427</v>
      </c>
      <c r="H484" t="s">
        <v>471</v>
      </c>
      <c r="I484">
        <v>4785</v>
      </c>
      <c r="J484">
        <v>1.48</v>
      </c>
      <c r="K484">
        <v>7081.8</v>
      </c>
      <c r="L484">
        <v>1.02</v>
      </c>
      <c r="M484">
        <v>4880.7</v>
      </c>
      <c r="N484">
        <v>2201.1</v>
      </c>
    </row>
    <row r="485" spans="1:14" x14ac:dyDescent="0.25">
      <c r="A485">
        <v>484</v>
      </c>
      <c r="B485" t="s">
        <v>131</v>
      </c>
      <c r="C485" t="str">
        <f t="shared" si="7"/>
        <v>Jul</v>
      </c>
      <c r="D485">
        <f>YEAR(SalesData[[#This Row],[Date]])</f>
        <v>2024</v>
      </c>
      <c r="E485" t="s">
        <v>366</v>
      </c>
      <c r="F485" t="s">
        <v>370</v>
      </c>
      <c r="G485" t="s">
        <v>377</v>
      </c>
      <c r="H485" t="s">
        <v>476</v>
      </c>
      <c r="I485">
        <v>4566</v>
      </c>
      <c r="J485">
        <v>1.44</v>
      </c>
      <c r="K485">
        <v>6575.04</v>
      </c>
      <c r="L485">
        <v>1.1100000000000001</v>
      </c>
      <c r="M485">
        <v>5068.26</v>
      </c>
      <c r="N485">
        <v>1506.78</v>
      </c>
    </row>
    <row r="486" spans="1:14" x14ac:dyDescent="0.25">
      <c r="A486">
        <v>485</v>
      </c>
      <c r="B486" t="s">
        <v>291</v>
      </c>
      <c r="C486" t="str">
        <f t="shared" si="7"/>
        <v>Sep</v>
      </c>
      <c r="D486">
        <f>YEAR(SalesData[[#This Row],[Date]])</f>
        <v>2024</v>
      </c>
      <c r="E486" t="s">
        <v>366</v>
      </c>
      <c r="F486" t="s">
        <v>370</v>
      </c>
      <c r="G486" t="s">
        <v>398</v>
      </c>
      <c r="H486" t="s">
        <v>472</v>
      </c>
      <c r="I486">
        <v>1229</v>
      </c>
      <c r="J486">
        <v>1.43</v>
      </c>
      <c r="K486">
        <v>1757.47</v>
      </c>
      <c r="L486">
        <v>1.1599999999999999</v>
      </c>
      <c r="M486">
        <v>1425.64</v>
      </c>
      <c r="N486">
        <v>331.83</v>
      </c>
    </row>
    <row r="487" spans="1:14" x14ac:dyDescent="0.25">
      <c r="A487">
        <v>486</v>
      </c>
      <c r="B487" t="s">
        <v>207</v>
      </c>
      <c r="C487" t="str">
        <f t="shared" si="7"/>
        <v>Dec</v>
      </c>
      <c r="D487">
        <f>YEAR(SalesData[[#This Row],[Date]])</f>
        <v>2024</v>
      </c>
      <c r="E487" t="s">
        <v>366</v>
      </c>
      <c r="F487" t="s">
        <v>369</v>
      </c>
      <c r="G487" t="s">
        <v>437</v>
      </c>
      <c r="H487" t="s">
        <v>490</v>
      </c>
      <c r="I487">
        <v>1114</v>
      </c>
      <c r="J487">
        <v>1.31</v>
      </c>
      <c r="K487">
        <v>1459.34</v>
      </c>
      <c r="L487">
        <v>0.82</v>
      </c>
      <c r="M487">
        <v>913.48</v>
      </c>
      <c r="N487">
        <v>545.86</v>
      </c>
    </row>
    <row r="488" spans="1:14" x14ac:dyDescent="0.25">
      <c r="A488">
        <v>487</v>
      </c>
      <c r="B488" t="s">
        <v>202</v>
      </c>
      <c r="C488" t="str">
        <f t="shared" si="7"/>
        <v>May</v>
      </c>
      <c r="D488">
        <f>YEAR(SalesData[[#This Row],[Date]])</f>
        <v>2024</v>
      </c>
      <c r="E488" t="s">
        <v>364</v>
      </c>
      <c r="F488" t="s">
        <v>368</v>
      </c>
      <c r="G488" t="s">
        <v>386</v>
      </c>
      <c r="H488" t="s">
        <v>471</v>
      </c>
      <c r="I488">
        <v>4303</v>
      </c>
      <c r="J488">
        <v>0.84</v>
      </c>
      <c r="K488">
        <v>3614.52</v>
      </c>
      <c r="L488">
        <v>0.67</v>
      </c>
      <c r="M488">
        <v>2883.01</v>
      </c>
      <c r="N488">
        <v>731.51</v>
      </c>
    </row>
    <row r="489" spans="1:14" x14ac:dyDescent="0.25">
      <c r="A489">
        <v>488</v>
      </c>
      <c r="B489" t="s">
        <v>53</v>
      </c>
      <c r="C489" t="str">
        <f t="shared" si="7"/>
        <v>Jan</v>
      </c>
      <c r="D489">
        <f>YEAR(SalesData[[#This Row],[Date]])</f>
        <v>2024</v>
      </c>
      <c r="E489" t="s">
        <v>365</v>
      </c>
      <c r="F489" t="s">
        <v>370</v>
      </c>
      <c r="G489" t="s">
        <v>414</v>
      </c>
      <c r="H489" t="s">
        <v>487</v>
      </c>
      <c r="I489">
        <v>3989</v>
      </c>
      <c r="J489">
        <v>1.32</v>
      </c>
      <c r="K489">
        <v>5265.48</v>
      </c>
      <c r="L489">
        <v>0.82</v>
      </c>
      <c r="M489">
        <v>3270.98</v>
      </c>
      <c r="N489">
        <v>1994.5</v>
      </c>
    </row>
    <row r="490" spans="1:14" x14ac:dyDescent="0.25">
      <c r="A490">
        <v>489</v>
      </c>
      <c r="B490" t="s">
        <v>211</v>
      </c>
      <c r="C490" t="str">
        <f t="shared" si="7"/>
        <v>Jan</v>
      </c>
      <c r="D490">
        <f>YEAR(SalesData[[#This Row],[Date]])</f>
        <v>2024</v>
      </c>
      <c r="E490" t="s">
        <v>366</v>
      </c>
      <c r="F490" t="s">
        <v>367</v>
      </c>
      <c r="G490" t="s">
        <v>389</v>
      </c>
      <c r="H490" t="s">
        <v>480</v>
      </c>
      <c r="I490">
        <v>3192</v>
      </c>
      <c r="J490">
        <v>1.05</v>
      </c>
      <c r="K490">
        <v>3351.6</v>
      </c>
      <c r="L490">
        <v>0.74</v>
      </c>
      <c r="M490">
        <v>2362.08</v>
      </c>
      <c r="N490">
        <v>989.52</v>
      </c>
    </row>
    <row r="491" spans="1:14" x14ac:dyDescent="0.25">
      <c r="A491">
        <v>490</v>
      </c>
      <c r="B491" t="s">
        <v>78</v>
      </c>
      <c r="C491" t="str">
        <f t="shared" si="7"/>
        <v>Nov</v>
      </c>
      <c r="D491">
        <f>YEAR(SalesData[[#This Row],[Date]])</f>
        <v>2024</v>
      </c>
      <c r="E491" t="s">
        <v>363</v>
      </c>
      <c r="F491" t="s">
        <v>370</v>
      </c>
      <c r="G491" t="s">
        <v>466</v>
      </c>
      <c r="H491" t="s">
        <v>487</v>
      </c>
      <c r="I491">
        <v>1998</v>
      </c>
      <c r="J491">
        <v>0.88</v>
      </c>
      <c r="K491">
        <v>1758.24</v>
      </c>
      <c r="L491">
        <v>0.62</v>
      </c>
      <c r="M491">
        <v>1238.76</v>
      </c>
      <c r="N491">
        <v>519.48</v>
      </c>
    </row>
    <row r="492" spans="1:14" x14ac:dyDescent="0.25">
      <c r="A492">
        <v>491</v>
      </c>
      <c r="B492" t="s">
        <v>292</v>
      </c>
      <c r="C492" t="str">
        <f t="shared" si="7"/>
        <v>Aug</v>
      </c>
      <c r="D492">
        <f>YEAR(SalesData[[#This Row],[Date]])</f>
        <v>2024</v>
      </c>
      <c r="E492" t="s">
        <v>364</v>
      </c>
      <c r="F492" t="s">
        <v>370</v>
      </c>
      <c r="G492" t="s">
        <v>454</v>
      </c>
      <c r="H492" t="s">
        <v>483</v>
      </c>
      <c r="I492">
        <v>3954</v>
      </c>
      <c r="J492">
        <v>1.25</v>
      </c>
      <c r="K492">
        <v>4942.5</v>
      </c>
      <c r="L492">
        <v>1</v>
      </c>
      <c r="M492">
        <v>3954</v>
      </c>
      <c r="N492">
        <v>988.5</v>
      </c>
    </row>
    <row r="493" spans="1:14" x14ac:dyDescent="0.25">
      <c r="A493">
        <v>492</v>
      </c>
      <c r="B493" t="s">
        <v>212</v>
      </c>
      <c r="C493" t="str">
        <f t="shared" si="7"/>
        <v>Feb</v>
      </c>
      <c r="D493">
        <f>YEAR(SalesData[[#This Row],[Date]])</f>
        <v>2024</v>
      </c>
      <c r="E493" t="s">
        <v>363</v>
      </c>
      <c r="F493" t="s">
        <v>368</v>
      </c>
      <c r="G493" t="s">
        <v>406</v>
      </c>
      <c r="H493" t="s">
        <v>488</v>
      </c>
      <c r="I493">
        <v>3908</v>
      </c>
      <c r="J493">
        <v>1.44</v>
      </c>
      <c r="K493">
        <v>5627.52</v>
      </c>
      <c r="L493">
        <v>1.04</v>
      </c>
      <c r="M493">
        <v>4064.32</v>
      </c>
      <c r="N493">
        <v>1563.2</v>
      </c>
    </row>
    <row r="494" spans="1:14" x14ac:dyDescent="0.25">
      <c r="A494">
        <v>493</v>
      </c>
      <c r="B494" t="s">
        <v>293</v>
      </c>
      <c r="C494" t="str">
        <f t="shared" si="7"/>
        <v>Oct</v>
      </c>
      <c r="D494">
        <f>YEAR(SalesData[[#This Row],[Date]])</f>
        <v>2024</v>
      </c>
      <c r="E494" t="s">
        <v>366</v>
      </c>
      <c r="F494" t="s">
        <v>369</v>
      </c>
      <c r="G494" t="s">
        <v>422</v>
      </c>
      <c r="H494" t="s">
        <v>484</v>
      </c>
      <c r="I494">
        <v>3437</v>
      </c>
      <c r="J494">
        <v>1.23</v>
      </c>
      <c r="K494">
        <v>4227.51</v>
      </c>
      <c r="L494">
        <v>1</v>
      </c>
      <c r="M494">
        <v>3437</v>
      </c>
      <c r="N494">
        <v>790.51</v>
      </c>
    </row>
    <row r="495" spans="1:14" x14ac:dyDescent="0.25">
      <c r="A495">
        <v>494</v>
      </c>
      <c r="B495" t="s">
        <v>137</v>
      </c>
      <c r="C495" t="str">
        <f t="shared" si="7"/>
        <v>Mar</v>
      </c>
      <c r="D495">
        <f>YEAR(SalesData[[#This Row],[Date]])</f>
        <v>2024</v>
      </c>
      <c r="E495" t="s">
        <v>364</v>
      </c>
      <c r="F495" t="s">
        <v>369</v>
      </c>
      <c r="G495" t="s">
        <v>409</v>
      </c>
      <c r="H495" t="s">
        <v>481</v>
      </c>
      <c r="I495">
        <v>4110</v>
      </c>
      <c r="J495">
        <v>0.83</v>
      </c>
      <c r="K495">
        <v>3411.3</v>
      </c>
      <c r="L495">
        <v>0.55000000000000004</v>
      </c>
      <c r="M495">
        <v>2260.5</v>
      </c>
      <c r="N495">
        <v>1150.8</v>
      </c>
    </row>
    <row r="496" spans="1:14" x14ac:dyDescent="0.25">
      <c r="A496">
        <v>495</v>
      </c>
      <c r="B496" t="s">
        <v>150</v>
      </c>
      <c r="C496" t="str">
        <f t="shared" si="7"/>
        <v>Jun</v>
      </c>
      <c r="D496">
        <f>YEAR(SalesData[[#This Row],[Date]])</f>
        <v>2024</v>
      </c>
      <c r="E496" t="s">
        <v>366</v>
      </c>
      <c r="F496" t="s">
        <v>367</v>
      </c>
      <c r="G496" t="s">
        <v>403</v>
      </c>
      <c r="H496" t="s">
        <v>487</v>
      </c>
      <c r="I496">
        <v>4752</v>
      </c>
      <c r="J496">
        <v>1.17</v>
      </c>
      <c r="K496">
        <v>5559.84</v>
      </c>
      <c r="L496">
        <v>0.91</v>
      </c>
      <c r="M496">
        <v>4324.32</v>
      </c>
      <c r="N496">
        <v>1235.52</v>
      </c>
    </row>
    <row r="497" spans="1:14" x14ac:dyDescent="0.25">
      <c r="A497">
        <v>496</v>
      </c>
      <c r="B497" t="s">
        <v>227</v>
      </c>
      <c r="C497" t="str">
        <f t="shared" si="7"/>
        <v>Feb</v>
      </c>
      <c r="D497">
        <f>YEAR(SalesData[[#This Row],[Date]])</f>
        <v>2024</v>
      </c>
      <c r="E497" t="s">
        <v>366</v>
      </c>
      <c r="F497" t="s">
        <v>369</v>
      </c>
      <c r="G497" t="s">
        <v>468</v>
      </c>
      <c r="H497" t="s">
        <v>475</v>
      </c>
      <c r="I497">
        <v>3652</v>
      </c>
      <c r="J497">
        <v>0.9</v>
      </c>
      <c r="K497">
        <v>3286.8</v>
      </c>
      <c r="L497">
        <v>0.73</v>
      </c>
      <c r="M497">
        <v>2665.96</v>
      </c>
      <c r="N497">
        <v>620.84</v>
      </c>
    </row>
    <row r="498" spans="1:14" x14ac:dyDescent="0.25">
      <c r="A498">
        <v>497</v>
      </c>
      <c r="B498" t="s">
        <v>294</v>
      </c>
      <c r="C498" t="str">
        <f t="shared" si="7"/>
        <v>Nov</v>
      </c>
      <c r="D498">
        <f>YEAR(SalesData[[#This Row],[Date]])</f>
        <v>2024</v>
      </c>
      <c r="E498" t="s">
        <v>363</v>
      </c>
      <c r="F498" t="s">
        <v>367</v>
      </c>
      <c r="G498" t="s">
        <v>431</v>
      </c>
      <c r="H498" t="s">
        <v>480</v>
      </c>
      <c r="I498">
        <v>4641</v>
      </c>
      <c r="J498">
        <v>1.39</v>
      </c>
      <c r="K498">
        <v>6450.99</v>
      </c>
      <c r="L498">
        <v>1.1299999999999999</v>
      </c>
      <c r="M498">
        <v>5244.33</v>
      </c>
      <c r="N498">
        <v>1206.6600000000001</v>
      </c>
    </row>
    <row r="499" spans="1:14" x14ac:dyDescent="0.25">
      <c r="A499">
        <v>498</v>
      </c>
      <c r="B499" t="s">
        <v>159</v>
      </c>
      <c r="C499" t="str">
        <f t="shared" si="7"/>
        <v>Mar</v>
      </c>
      <c r="D499">
        <f>YEAR(SalesData[[#This Row],[Date]])</f>
        <v>2024</v>
      </c>
      <c r="E499" t="s">
        <v>364</v>
      </c>
      <c r="F499" t="s">
        <v>367</v>
      </c>
      <c r="G499" t="s">
        <v>441</v>
      </c>
      <c r="H499" t="s">
        <v>477</v>
      </c>
      <c r="I499">
        <v>3210</v>
      </c>
      <c r="J499">
        <v>1.48</v>
      </c>
      <c r="K499">
        <v>4750.8</v>
      </c>
      <c r="L499">
        <v>0.91</v>
      </c>
      <c r="M499">
        <v>2921.1</v>
      </c>
      <c r="N499">
        <v>1829.7</v>
      </c>
    </row>
    <row r="500" spans="1:14" x14ac:dyDescent="0.25">
      <c r="A500">
        <v>499</v>
      </c>
      <c r="B500" t="s">
        <v>57</v>
      </c>
      <c r="C500" t="str">
        <f t="shared" si="7"/>
        <v>Apr</v>
      </c>
      <c r="D500">
        <f>YEAR(SalesData[[#This Row],[Date]])</f>
        <v>2024</v>
      </c>
      <c r="E500" t="s">
        <v>364</v>
      </c>
      <c r="F500" t="s">
        <v>369</v>
      </c>
      <c r="G500" t="s">
        <v>388</v>
      </c>
      <c r="H500" t="s">
        <v>486</v>
      </c>
      <c r="I500">
        <v>4260</v>
      </c>
      <c r="J500">
        <v>1.1100000000000001</v>
      </c>
      <c r="K500">
        <v>4728.6000000000004</v>
      </c>
      <c r="L500">
        <v>0.83</v>
      </c>
      <c r="M500">
        <v>3535.8</v>
      </c>
      <c r="N500">
        <v>1192.8</v>
      </c>
    </row>
    <row r="501" spans="1:14" x14ac:dyDescent="0.25">
      <c r="A501">
        <v>500</v>
      </c>
      <c r="B501" t="s">
        <v>295</v>
      </c>
      <c r="C501" t="str">
        <f t="shared" si="7"/>
        <v>Feb</v>
      </c>
      <c r="D501">
        <f>YEAR(SalesData[[#This Row],[Date]])</f>
        <v>2024</v>
      </c>
      <c r="E501" t="s">
        <v>364</v>
      </c>
      <c r="F501" t="s">
        <v>369</v>
      </c>
      <c r="G501" t="s">
        <v>404</v>
      </c>
      <c r="H501" t="s">
        <v>488</v>
      </c>
      <c r="I501">
        <v>4574</v>
      </c>
      <c r="J501">
        <v>1.32</v>
      </c>
      <c r="K501">
        <v>6037.68</v>
      </c>
      <c r="L501">
        <v>0.8</v>
      </c>
      <c r="M501">
        <v>3659.2</v>
      </c>
      <c r="N501">
        <v>2378.48</v>
      </c>
    </row>
    <row r="502" spans="1:14" x14ac:dyDescent="0.25">
      <c r="A502">
        <v>501</v>
      </c>
      <c r="B502" t="s">
        <v>108</v>
      </c>
      <c r="C502" t="str">
        <f t="shared" si="7"/>
        <v>Jul</v>
      </c>
      <c r="D502">
        <f>YEAR(SalesData[[#This Row],[Date]])</f>
        <v>2024</v>
      </c>
      <c r="E502" t="s">
        <v>363</v>
      </c>
      <c r="F502" t="s">
        <v>369</v>
      </c>
      <c r="G502" t="s">
        <v>421</v>
      </c>
      <c r="H502" t="s">
        <v>476</v>
      </c>
      <c r="I502">
        <v>501</v>
      </c>
      <c r="J502">
        <v>1.38</v>
      </c>
      <c r="K502">
        <v>691.38</v>
      </c>
      <c r="L502">
        <v>1.1000000000000001</v>
      </c>
      <c r="M502">
        <v>551.1</v>
      </c>
      <c r="N502">
        <v>140.28</v>
      </c>
    </row>
    <row r="503" spans="1:14" x14ac:dyDescent="0.25">
      <c r="A503">
        <v>502</v>
      </c>
      <c r="B503" t="s">
        <v>145</v>
      </c>
      <c r="C503" t="str">
        <f t="shared" si="7"/>
        <v>Nov</v>
      </c>
      <c r="D503">
        <f>YEAR(SalesData[[#This Row],[Date]])</f>
        <v>2024</v>
      </c>
      <c r="E503" t="s">
        <v>366</v>
      </c>
      <c r="F503" t="s">
        <v>370</v>
      </c>
      <c r="G503" t="s">
        <v>420</v>
      </c>
      <c r="H503" t="s">
        <v>473</v>
      </c>
      <c r="I503">
        <v>3292</v>
      </c>
      <c r="J503">
        <v>1.05</v>
      </c>
      <c r="K503">
        <v>3456.6</v>
      </c>
      <c r="L503">
        <v>0.64</v>
      </c>
      <c r="M503">
        <v>2106.88</v>
      </c>
      <c r="N503">
        <v>1349.72</v>
      </c>
    </row>
    <row r="504" spans="1:14" x14ac:dyDescent="0.25">
      <c r="A504">
        <v>503</v>
      </c>
      <c r="B504" t="s">
        <v>57</v>
      </c>
      <c r="C504" t="str">
        <f t="shared" si="7"/>
        <v>Apr</v>
      </c>
      <c r="D504">
        <f>YEAR(SalesData[[#This Row],[Date]])</f>
        <v>2024</v>
      </c>
      <c r="E504" t="s">
        <v>365</v>
      </c>
      <c r="F504" t="s">
        <v>369</v>
      </c>
      <c r="G504" t="s">
        <v>421</v>
      </c>
      <c r="H504" t="s">
        <v>489</v>
      </c>
      <c r="I504">
        <v>4375</v>
      </c>
      <c r="J504">
        <v>1.3</v>
      </c>
      <c r="K504">
        <v>5687.5</v>
      </c>
      <c r="L504">
        <v>0.9</v>
      </c>
      <c r="M504">
        <v>3937.5</v>
      </c>
      <c r="N504">
        <v>1750</v>
      </c>
    </row>
    <row r="505" spans="1:14" x14ac:dyDescent="0.25">
      <c r="A505">
        <v>504</v>
      </c>
      <c r="B505" t="s">
        <v>296</v>
      </c>
      <c r="C505" t="str">
        <f t="shared" si="7"/>
        <v>Aug</v>
      </c>
      <c r="D505">
        <f>YEAR(SalesData[[#This Row],[Date]])</f>
        <v>2024</v>
      </c>
      <c r="E505" t="s">
        <v>363</v>
      </c>
      <c r="F505" t="s">
        <v>367</v>
      </c>
      <c r="G505" t="s">
        <v>424</v>
      </c>
      <c r="H505" t="s">
        <v>477</v>
      </c>
      <c r="I505">
        <v>517</v>
      </c>
      <c r="J505">
        <v>1.04</v>
      </c>
      <c r="K505">
        <v>537.67999999999995</v>
      </c>
      <c r="L505">
        <v>0.84</v>
      </c>
      <c r="M505">
        <v>434.28</v>
      </c>
      <c r="N505">
        <v>103.4</v>
      </c>
    </row>
    <row r="506" spans="1:14" x14ac:dyDescent="0.25">
      <c r="A506">
        <v>505</v>
      </c>
      <c r="B506" t="s">
        <v>297</v>
      </c>
      <c r="C506" t="str">
        <f t="shared" si="7"/>
        <v>May</v>
      </c>
      <c r="D506">
        <f>YEAR(SalesData[[#This Row],[Date]])</f>
        <v>2024</v>
      </c>
      <c r="E506" t="s">
        <v>363</v>
      </c>
      <c r="F506" t="s">
        <v>370</v>
      </c>
      <c r="G506" t="s">
        <v>377</v>
      </c>
      <c r="H506" t="s">
        <v>480</v>
      </c>
      <c r="I506">
        <v>4533</v>
      </c>
      <c r="J506">
        <v>0.9</v>
      </c>
      <c r="K506">
        <v>4079.7</v>
      </c>
      <c r="L506">
        <v>0.7</v>
      </c>
      <c r="M506">
        <v>3173.1</v>
      </c>
      <c r="N506">
        <v>906.6</v>
      </c>
    </row>
    <row r="507" spans="1:14" x14ac:dyDescent="0.25">
      <c r="A507">
        <v>506</v>
      </c>
      <c r="B507" t="s">
        <v>131</v>
      </c>
      <c r="C507" t="str">
        <f t="shared" si="7"/>
        <v>Jul</v>
      </c>
      <c r="D507">
        <f>YEAR(SalesData[[#This Row],[Date]])</f>
        <v>2024</v>
      </c>
      <c r="E507" t="s">
        <v>365</v>
      </c>
      <c r="F507" t="s">
        <v>367</v>
      </c>
      <c r="G507" t="s">
        <v>422</v>
      </c>
      <c r="H507" t="s">
        <v>485</v>
      </c>
      <c r="I507">
        <v>2036</v>
      </c>
      <c r="J507">
        <v>0.88</v>
      </c>
      <c r="K507">
        <v>1791.68</v>
      </c>
      <c r="L507">
        <v>0.72</v>
      </c>
      <c r="M507">
        <v>1465.92</v>
      </c>
      <c r="N507">
        <v>325.76</v>
      </c>
    </row>
    <row r="508" spans="1:14" x14ac:dyDescent="0.25">
      <c r="A508">
        <v>507</v>
      </c>
      <c r="B508" t="s">
        <v>298</v>
      </c>
      <c r="C508" t="str">
        <f t="shared" si="7"/>
        <v>Apr</v>
      </c>
      <c r="D508">
        <f>YEAR(SalesData[[#This Row],[Date]])</f>
        <v>2024</v>
      </c>
      <c r="E508" t="s">
        <v>366</v>
      </c>
      <c r="F508" t="s">
        <v>369</v>
      </c>
      <c r="G508" t="s">
        <v>390</v>
      </c>
      <c r="H508" t="s">
        <v>487</v>
      </c>
      <c r="I508">
        <v>1382</v>
      </c>
      <c r="J508">
        <v>1.33</v>
      </c>
      <c r="K508">
        <v>1838.06</v>
      </c>
      <c r="L508">
        <v>0.81</v>
      </c>
      <c r="M508">
        <v>1119.42</v>
      </c>
      <c r="N508">
        <v>718.64</v>
      </c>
    </row>
    <row r="509" spans="1:14" x14ac:dyDescent="0.25">
      <c r="A509">
        <v>508</v>
      </c>
      <c r="B509" t="s">
        <v>49</v>
      </c>
      <c r="C509" t="str">
        <f t="shared" si="7"/>
        <v>Nov</v>
      </c>
      <c r="D509">
        <f>YEAR(SalesData[[#This Row],[Date]])</f>
        <v>2024</v>
      </c>
      <c r="E509" t="s">
        <v>364</v>
      </c>
      <c r="F509" t="s">
        <v>367</v>
      </c>
      <c r="G509" t="s">
        <v>378</v>
      </c>
      <c r="H509" t="s">
        <v>479</v>
      </c>
      <c r="I509">
        <v>4630</v>
      </c>
      <c r="J509">
        <v>0.89</v>
      </c>
      <c r="K509">
        <v>4120.7</v>
      </c>
      <c r="L509">
        <v>0.64</v>
      </c>
      <c r="M509">
        <v>2963.2</v>
      </c>
      <c r="N509">
        <v>1157.5</v>
      </c>
    </row>
    <row r="510" spans="1:14" x14ac:dyDescent="0.25">
      <c r="A510">
        <v>509</v>
      </c>
      <c r="B510" t="s">
        <v>224</v>
      </c>
      <c r="C510" t="str">
        <f t="shared" si="7"/>
        <v>Sep</v>
      </c>
      <c r="D510">
        <f>YEAR(SalesData[[#This Row],[Date]])</f>
        <v>2024</v>
      </c>
      <c r="E510" t="s">
        <v>364</v>
      </c>
      <c r="F510" t="s">
        <v>367</v>
      </c>
      <c r="G510" t="s">
        <v>461</v>
      </c>
      <c r="H510" t="s">
        <v>483</v>
      </c>
      <c r="I510">
        <v>4664</v>
      </c>
      <c r="J510">
        <v>1.35</v>
      </c>
      <c r="K510">
        <v>6296.4</v>
      </c>
      <c r="L510">
        <v>1.1200000000000001</v>
      </c>
      <c r="M510">
        <v>5223.68</v>
      </c>
      <c r="N510">
        <v>1072.72</v>
      </c>
    </row>
    <row r="511" spans="1:14" x14ac:dyDescent="0.25">
      <c r="A511">
        <v>510</v>
      </c>
      <c r="B511" t="s">
        <v>237</v>
      </c>
      <c r="C511" t="str">
        <f t="shared" si="7"/>
        <v>Dec</v>
      </c>
      <c r="D511">
        <f>YEAR(SalesData[[#This Row],[Date]])</f>
        <v>2024</v>
      </c>
      <c r="E511" t="s">
        <v>366</v>
      </c>
      <c r="F511" t="s">
        <v>368</v>
      </c>
      <c r="G511" t="s">
        <v>450</v>
      </c>
      <c r="H511" t="s">
        <v>484</v>
      </c>
      <c r="I511">
        <v>3136</v>
      </c>
      <c r="J511">
        <v>1.1499999999999999</v>
      </c>
      <c r="K511">
        <v>3606.4</v>
      </c>
      <c r="L511">
        <v>0.8</v>
      </c>
      <c r="M511">
        <v>2508.8000000000002</v>
      </c>
      <c r="N511">
        <v>1097.5999999999999</v>
      </c>
    </row>
    <row r="512" spans="1:14" x14ac:dyDescent="0.25">
      <c r="A512">
        <v>511</v>
      </c>
      <c r="B512" t="s">
        <v>178</v>
      </c>
      <c r="C512" t="str">
        <f t="shared" si="7"/>
        <v>Nov</v>
      </c>
      <c r="D512">
        <f>YEAR(SalesData[[#This Row],[Date]])</f>
        <v>2024</v>
      </c>
      <c r="E512" t="s">
        <v>365</v>
      </c>
      <c r="F512" t="s">
        <v>368</v>
      </c>
      <c r="G512" t="s">
        <v>455</v>
      </c>
      <c r="H512" t="s">
        <v>487</v>
      </c>
      <c r="I512">
        <v>2909</v>
      </c>
      <c r="J512">
        <v>1.1200000000000001</v>
      </c>
      <c r="K512">
        <v>3258.08</v>
      </c>
      <c r="L512">
        <v>0.71</v>
      </c>
      <c r="M512">
        <v>2065.39</v>
      </c>
      <c r="N512">
        <v>1192.69</v>
      </c>
    </row>
    <row r="513" spans="1:14" x14ac:dyDescent="0.25">
      <c r="A513">
        <v>512</v>
      </c>
      <c r="B513" t="s">
        <v>299</v>
      </c>
      <c r="C513" t="str">
        <f t="shared" si="7"/>
        <v>Jul</v>
      </c>
      <c r="D513">
        <f>YEAR(SalesData[[#This Row],[Date]])</f>
        <v>2024</v>
      </c>
      <c r="E513" t="s">
        <v>365</v>
      </c>
      <c r="F513" t="s">
        <v>370</v>
      </c>
      <c r="G513" t="s">
        <v>390</v>
      </c>
      <c r="H513" t="s">
        <v>476</v>
      </c>
      <c r="I513">
        <v>2280</v>
      </c>
      <c r="J513">
        <v>0.94</v>
      </c>
      <c r="K513">
        <v>2143.1999999999998</v>
      </c>
      <c r="L513">
        <v>0.71</v>
      </c>
      <c r="M513">
        <v>1618.8</v>
      </c>
      <c r="N513">
        <v>524.4</v>
      </c>
    </row>
    <row r="514" spans="1:14" x14ac:dyDescent="0.25">
      <c r="A514">
        <v>513</v>
      </c>
      <c r="B514" t="s">
        <v>183</v>
      </c>
      <c r="C514" t="str">
        <f t="shared" ref="C514:C577" si="8">TEXT(B514,"mmm")</f>
        <v>May</v>
      </c>
      <c r="D514">
        <f>YEAR(SalesData[[#This Row],[Date]])</f>
        <v>2024</v>
      </c>
      <c r="E514" t="s">
        <v>366</v>
      </c>
      <c r="F514" t="s">
        <v>370</v>
      </c>
      <c r="G514" t="s">
        <v>453</v>
      </c>
      <c r="H514" t="s">
        <v>480</v>
      </c>
      <c r="I514">
        <v>4627</v>
      </c>
      <c r="J514">
        <v>1.18</v>
      </c>
      <c r="K514">
        <v>5459.86</v>
      </c>
      <c r="L514">
        <v>0.9</v>
      </c>
      <c r="M514">
        <v>4164.3</v>
      </c>
      <c r="N514">
        <v>1295.56</v>
      </c>
    </row>
    <row r="515" spans="1:14" x14ac:dyDescent="0.25">
      <c r="A515">
        <v>514</v>
      </c>
      <c r="B515" t="s">
        <v>187</v>
      </c>
      <c r="C515" t="str">
        <f t="shared" si="8"/>
        <v>Dec</v>
      </c>
      <c r="D515">
        <f>YEAR(SalesData[[#This Row],[Date]])</f>
        <v>2024</v>
      </c>
      <c r="E515" t="s">
        <v>365</v>
      </c>
      <c r="F515" t="s">
        <v>367</v>
      </c>
      <c r="G515" t="s">
        <v>421</v>
      </c>
      <c r="H515" t="s">
        <v>483</v>
      </c>
      <c r="I515">
        <v>3919</v>
      </c>
      <c r="J515">
        <v>1.27</v>
      </c>
      <c r="K515">
        <v>4977.13</v>
      </c>
      <c r="L515">
        <v>1.05</v>
      </c>
      <c r="M515">
        <v>4114.95</v>
      </c>
      <c r="N515">
        <v>862.18</v>
      </c>
    </row>
    <row r="516" spans="1:14" x14ac:dyDescent="0.25">
      <c r="A516">
        <v>515</v>
      </c>
      <c r="B516" t="s">
        <v>218</v>
      </c>
      <c r="C516" t="str">
        <f t="shared" si="8"/>
        <v>Sep</v>
      </c>
      <c r="D516">
        <f>YEAR(SalesData[[#This Row],[Date]])</f>
        <v>2024</v>
      </c>
      <c r="E516" t="s">
        <v>364</v>
      </c>
      <c r="F516" t="s">
        <v>370</v>
      </c>
      <c r="G516" t="s">
        <v>447</v>
      </c>
      <c r="H516" t="s">
        <v>490</v>
      </c>
      <c r="I516">
        <v>1372</v>
      </c>
      <c r="J516">
        <v>0.82</v>
      </c>
      <c r="K516">
        <v>1125.04</v>
      </c>
      <c r="L516">
        <v>0.52</v>
      </c>
      <c r="M516">
        <v>713.44</v>
      </c>
      <c r="N516">
        <v>411.6</v>
      </c>
    </row>
    <row r="517" spans="1:14" x14ac:dyDescent="0.25">
      <c r="A517">
        <v>516</v>
      </c>
      <c r="B517" t="s">
        <v>214</v>
      </c>
      <c r="C517" t="str">
        <f t="shared" si="8"/>
        <v>Dec</v>
      </c>
      <c r="D517">
        <f>YEAR(SalesData[[#This Row],[Date]])</f>
        <v>2024</v>
      </c>
      <c r="E517" t="s">
        <v>366</v>
      </c>
      <c r="F517" t="s">
        <v>367</v>
      </c>
      <c r="G517" t="s">
        <v>412</v>
      </c>
      <c r="H517" t="s">
        <v>480</v>
      </c>
      <c r="I517">
        <v>2847</v>
      </c>
      <c r="J517">
        <v>1.28</v>
      </c>
      <c r="K517">
        <v>3644.16</v>
      </c>
      <c r="L517">
        <v>0.81</v>
      </c>
      <c r="M517">
        <v>2306.0700000000002</v>
      </c>
      <c r="N517">
        <v>1338.09</v>
      </c>
    </row>
    <row r="518" spans="1:14" x14ac:dyDescent="0.25">
      <c r="A518">
        <v>517</v>
      </c>
      <c r="B518" t="s">
        <v>300</v>
      </c>
      <c r="C518" t="str">
        <f t="shared" si="8"/>
        <v>Feb</v>
      </c>
      <c r="D518">
        <f>YEAR(SalesData[[#This Row],[Date]])</f>
        <v>2024</v>
      </c>
      <c r="E518" t="s">
        <v>366</v>
      </c>
      <c r="F518" t="s">
        <v>370</v>
      </c>
      <c r="G518" t="s">
        <v>463</v>
      </c>
      <c r="H518" t="s">
        <v>476</v>
      </c>
      <c r="I518">
        <v>764</v>
      </c>
      <c r="J518">
        <v>1.05</v>
      </c>
      <c r="K518">
        <v>802.2</v>
      </c>
      <c r="L518">
        <v>0.75</v>
      </c>
      <c r="M518">
        <v>573</v>
      </c>
      <c r="N518">
        <v>229.2</v>
      </c>
    </row>
    <row r="519" spans="1:14" x14ac:dyDescent="0.25">
      <c r="A519">
        <v>518</v>
      </c>
      <c r="B519" t="s">
        <v>301</v>
      </c>
      <c r="C519" t="str">
        <f t="shared" si="8"/>
        <v>Nov</v>
      </c>
      <c r="D519">
        <f>YEAR(SalesData[[#This Row],[Date]])</f>
        <v>2024</v>
      </c>
      <c r="E519" t="s">
        <v>364</v>
      </c>
      <c r="F519" t="s">
        <v>368</v>
      </c>
      <c r="G519" t="s">
        <v>388</v>
      </c>
      <c r="H519" t="s">
        <v>490</v>
      </c>
      <c r="I519">
        <v>2856</v>
      </c>
      <c r="J519">
        <v>1.29</v>
      </c>
      <c r="K519">
        <v>3684.24</v>
      </c>
      <c r="L519">
        <v>0.79</v>
      </c>
      <c r="M519">
        <v>2256.2399999999998</v>
      </c>
      <c r="N519">
        <v>1428</v>
      </c>
    </row>
    <row r="520" spans="1:14" x14ac:dyDescent="0.25">
      <c r="A520">
        <v>519</v>
      </c>
      <c r="B520" t="s">
        <v>123</v>
      </c>
      <c r="C520" t="str">
        <f t="shared" si="8"/>
        <v>Jul</v>
      </c>
      <c r="D520">
        <f>YEAR(SalesData[[#This Row],[Date]])</f>
        <v>2024</v>
      </c>
      <c r="E520" t="s">
        <v>364</v>
      </c>
      <c r="F520" t="s">
        <v>369</v>
      </c>
      <c r="G520" t="s">
        <v>411</v>
      </c>
      <c r="H520" t="s">
        <v>487</v>
      </c>
      <c r="I520">
        <v>940</v>
      </c>
      <c r="J520">
        <v>0.81</v>
      </c>
      <c r="K520">
        <v>761.4</v>
      </c>
      <c r="L520">
        <v>0.54</v>
      </c>
      <c r="M520">
        <v>507.6</v>
      </c>
      <c r="N520">
        <v>253.8</v>
      </c>
    </row>
    <row r="521" spans="1:14" x14ac:dyDescent="0.25">
      <c r="A521">
        <v>520</v>
      </c>
      <c r="B521" t="s">
        <v>130</v>
      </c>
      <c r="C521" t="str">
        <f t="shared" si="8"/>
        <v>Nov</v>
      </c>
      <c r="D521">
        <f>YEAR(SalesData[[#This Row],[Date]])</f>
        <v>2024</v>
      </c>
      <c r="E521" t="s">
        <v>366</v>
      </c>
      <c r="F521" t="s">
        <v>369</v>
      </c>
      <c r="G521" t="s">
        <v>436</v>
      </c>
      <c r="H521" t="s">
        <v>475</v>
      </c>
      <c r="I521">
        <v>4977</v>
      </c>
      <c r="J521">
        <v>1.32</v>
      </c>
      <c r="K521">
        <v>6569.64</v>
      </c>
      <c r="L521">
        <v>0.86</v>
      </c>
      <c r="M521">
        <v>4280.22</v>
      </c>
      <c r="N521">
        <v>2289.42</v>
      </c>
    </row>
    <row r="522" spans="1:14" x14ac:dyDescent="0.25">
      <c r="A522">
        <v>521</v>
      </c>
      <c r="B522" t="s">
        <v>302</v>
      </c>
      <c r="C522" t="str">
        <f t="shared" si="8"/>
        <v>Apr</v>
      </c>
      <c r="D522">
        <f>YEAR(SalesData[[#This Row],[Date]])</f>
        <v>2024</v>
      </c>
      <c r="E522" t="s">
        <v>364</v>
      </c>
      <c r="F522" t="s">
        <v>370</v>
      </c>
      <c r="G522" t="s">
        <v>445</v>
      </c>
      <c r="H522" t="s">
        <v>486</v>
      </c>
      <c r="I522">
        <v>2031</v>
      </c>
      <c r="J522">
        <v>1.47</v>
      </c>
      <c r="K522">
        <v>2985.57</v>
      </c>
      <c r="L522">
        <v>1.1499999999999999</v>
      </c>
      <c r="M522">
        <v>2335.65</v>
      </c>
      <c r="N522">
        <v>649.91999999999996</v>
      </c>
    </row>
    <row r="523" spans="1:14" x14ac:dyDescent="0.25">
      <c r="A523">
        <v>522</v>
      </c>
      <c r="B523" t="s">
        <v>43</v>
      </c>
      <c r="C523" t="str">
        <f t="shared" si="8"/>
        <v>Mar</v>
      </c>
      <c r="D523">
        <f>YEAR(SalesData[[#This Row],[Date]])</f>
        <v>2024</v>
      </c>
      <c r="E523" t="s">
        <v>363</v>
      </c>
      <c r="F523" t="s">
        <v>369</v>
      </c>
      <c r="G523" t="s">
        <v>449</v>
      </c>
      <c r="H523" t="s">
        <v>471</v>
      </c>
      <c r="I523">
        <v>2664</v>
      </c>
      <c r="J523">
        <v>0.89</v>
      </c>
      <c r="K523">
        <v>2370.96</v>
      </c>
      <c r="L523">
        <v>0.66</v>
      </c>
      <c r="M523">
        <v>1758.24</v>
      </c>
      <c r="N523">
        <v>612.72</v>
      </c>
    </row>
    <row r="524" spans="1:14" x14ac:dyDescent="0.25">
      <c r="A524">
        <v>523</v>
      </c>
      <c r="B524" t="s">
        <v>303</v>
      </c>
      <c r="C524" t="str">
        <f t="shared" si="8"/>
        <v>May</v>
      </c>
      <c r="D524">
        <f>YEAR(SalesData[[#This Row],[Date]])</f>
        <v>2024</v>
      </c>
      <c r="E524" t="s">
        <v>365</v>
      </c>
      <c r="F524" t="s">
        <v>367</v>
      </c>
      <c r="G524" t="s">
        <v>394</v>
      </c>
      <c r="H524" t="s">
        <v>474</v>
      </c>
      <c r="I524">
        <v>827</v>
      </c>
      <c r="J524">
        <v>0.91</v>
      </c>
      <c r="K524">
        <v>752.57</v>
      </c>
      <c r="L524">
        <v>0.62</v>
      </c>
      <c r="M524">
        <v>512.74</v>
      </c>
      <c r="N524">
        <v>239.83</v>
      </c>
    </row>
    <row r="525" spans="1:14" x14ac:dyDescent="0.25">
      <c r="A525">
        <v>524</v>
      </c>
      <c r="B525" t="s">
        <v>97</v>
      </c>
      <c r="C525" t="str">
        <f t="shared" si="8"/>
        <v>Jan</v>
      </c>
      <c r="D525">
        <f>YEAR(SalesData[[#This Row],[Date]])</f>
        <v>2024</v>
      </c>
      <c r="E525" t="s">
        <v>364</v>
      </c>
      <c r="F525" t="s">
        <v>370</v>
      </c>
      <c r="G525" t="s">
        <v>415</v>
      </c>
      <c r="H525" t="s">
        <v>476</v>
      </c>
      <c r="I525">
        <v>3433</v>
      </c>
      <c r="J525">
        <v>0.85</v>
      </c>
      <c r="K525">
        <v>2918.05</v>
      </c>
      <c r="L525">
        <v>0.66</v>
      </c>
      <c r="M525">
        <v>2265.7800000000002</v>
      </c>
      <c r="N525">
        <v>652.27</v>
      </c>
    </row>
    <row r="526" spans="1:14" x14ac:dyDescent="0.25">
      <c r="A526">
        <v>525</v>
      </c>
      <c r="B526" t="s">
        <v>185</v>
      </c>
      <c r="C526" t="str">
        <f t="shared" si="8"/>
        <v>Sep</v>
      </c>
      <c r="D526">
        <f>YEAR(SalesData[[#This Row],[Date]])</f>
        <v>2024</v>
      </c>
      <c r="E526" t="s">
        <v>366</v>
      </c>
      <c r="F526" t="s">
        <v>368</v>
      </c>
      <c r="G526" t="s">
        <v>430</v>
      </c>
      <c r="H526" t="s">
        <v>486</v>
      </c>
      <c r="I526">
        <v>4638</v>
      </c>
      <c r="J526">
        <v>0.91</v>
      </c>
      <c r="K526">
        <v>4220.58</v>
      </c>
      <c r="L526">
        <v>0.67</v>
      </c>
      <c r="M526">
        <v>3107.46</v>
      </c>
      <c r="N526">
        <v>1113.1199999999999</v>
      </c>
    </row>
    <row r="527" spans="1:14" x14ac:dyDescent="0.25">
      <c r="A527">
        <v>526</v>
      </c>
      <c r="B527" t="s">
        <v>108</v>
      </c>
      <c r="C527" t="str">
        <f t="shared" si="8"/>
        <v>Jul</v>
      </c>
      <c r="D527">
        <f>YEAR(SalesData[[#This Row],[Date]])</f>
        <v>2024</v>
      </c>
      <c r="E527" t="s">
        <v>365</v>
      </c>
      <c r="F527" t="s">
        <v>367</v>
      </c>
      <c r="G527" t="s">
        <v>373</v>
      </c>
      <c r="H527" t="s">
        <v>485</v>
      </c>
      <c r="I527">
        <v>3218</v>
      </c>
      <c r="J527">
        <v>1.03</v>
      </c>
      <c r="K527">
        <v>3314.54</v>
      </c>
      <c r="L527">
        <v>0.69</v>
      </c>
      <c r="M527">
        <v>2220.42</v>
      </c>
      <c r="N527">
        <v>1094.1199999999999</v>
      </c>
    </row>
    <row r="528" spans="1:14" x14ac:dyDescent="0.25">
      <c r="A528">
        <v>527</v>
      </c>
      <c r="B528" t="s">
        <v>145</v>
      </c>
      <c r="C528" t="str">
        <f t="shared" si="8"/>
        <v>Nov</v>
      </c>
      <c r="D528">
        <f>YEAR(SalesData[[#This Row],[Date]])</f>
        <v>2024</v>
      </c>
      <c r="E528" t="s">
        <v>363</v>
      </c>
      <c r="F528" t="s">
        <v>369</v>
      </c>
      <c r="G528" t="s">
        <v>409</v>
      </c>
      <c r="H528" t="s">
        <v>475</v>
      </c>
      <c r="I528">
        <v>4150</v>
      </c>
      <c r="J528">
        <v>0.97</v>
      </c>
      <c r="K528">
        <v>4025.5</v>
      </c>
      <c r="L528">
        <v>0.74</v>
      </c>
      <c r="M528">
        <v>3071</v>
      </c>
      <c r="N528">
        <v>954.5</v>
      </c>
    </row>
    <row r="529" spans="1:14" x14ac:dyDescent="0.25">
      <c r="A529">
        <v>528</v>
      </c>
      <c r="B529" t="s">
        <v>78</v>
      </c>
      <c r="C529" t="str">
        <f t="shared" si="8"/>
        <v>Nov</v>
      </c>
      <c r="D529">
        <f>YEAR(SalesData[[#This Row],[Date]])</f>
        <v>2024</v>
      </c>
      <c r="E529" t="s">
        <v>363</v>
      </c>
      <c r="F529" t="s">
        <v>368</v>
      </c>
      <c r="G529" t="s">
        <v>411</v>
      </c>
      <c r="H529" t="s">
        <v>487</v>
      </c>
      <c r="I529">
        <v>3624</v>
      </c>
      <c r="J529">
        <v>1.44</v>
      </c>
      <c r="K529">
        <v>5218.5600000000004</v>
      </c>
      <c r="L529">
        <v>1.2</v>
      </c>
      <c r="M529">
        <v>4348.8</v>
      </c>
      <c r="N529">
        <v>869.76</v>
      </c>
    </row>
    <row r="530" spans="1:14" x14ac:dyDescent="0.25">
      <c r="A530">
        <v>529</v>
      </c>
      <c r="B530" t="s">
        <v>173</v>
      </c>
      <c r="C530" t="str">
        <f t="shared" si="8"/>
        <v>Jul</v>
      </c>
      <c r="D530">
        <f>YEAR(SalesData[[#This Row],[Date]])</f>
        <v>2024</v>
      </c>
      <c r="E530" t="s">
        <v>365</v>
      </c>
      <c r="F530" t="s">
        <v>370</v>
      </c>
      <c r="G530" t="s">
        <v>435</v>
      </c>
      <c r="H530" t="s">
        <v>490</v>
      </c>
      <c r="I530">
        <v>3571</v>
      </c>
      <c r="J530">
        <v>1.1599999999999999</v>
      </c>
      <c r="K530">
        <v>4142.3599999999997</v>
      </c>
      <c r="L530">
        <v>0.84</v>
      </c>
      <c r="M530">
        <v>2999.64</v>
      </c>
      <c r="N530">
        <v>1142.72</v>
      </c>
    </row>
    <row r="531" spans="1:14" x14ac:dyDescent="0.25">
      <c r="A531">
        <v>530</v>
      </c>
      <c r="B531" t="s">
        <v>147</v>
      </c>
      <c r="C531" t="str">
        <f t="shared" si="8"/>
        <v>Sep</v>
      </c>
      <c r="D531">
        <f>YEAR(SalesData[[#This Row],[Date]])</f>
        <v>2024</v>
      </c>
      <c r="E531" t="s">
        <v>365</v>
      </c>
      <c r="F531" t="s">
        <v>367</v>
      </c>
      <c r="G531" t="s">
        <v>420</v>
      </c>
      <c r="H531" t="s">
        <v>485</v>
      </c>
      <c r="I531">
        <v>3124</v>
      </c>
      <c r="J531">
        <v>1.1599999999999999</v>
      </c>
      <c r="K531">
        <v>3623.84</v>
      </c>
      <c r="L531">
        <v>0.97</v>
      </c>
      <c r="M531">
        <v>3030.28</v>
      </c>
      <c r="N531">
        <v>593.55999999999995</v>
      </c>
    </row>
    <row r="532" spans="1:14" x14ac:dyDescent="0.25">
      <c r="A532">
        <v>531</v>
      </c>
      <c r="B532" t="s">
        <v>249</v>
      </c>
      <c r="C532" t="str">
        <f t="shared" si="8"/>
        <v>Mar</v>
      </c>
      <c r="D532">
        <f>YEAR(SalesData[[#This Row],[Date]])</f>
        <v>2024</v>
      </c>
      <c r="E532" t="s">
        <v>363</v>
      </c>
      <c r="F532" t="s">
        <v>367</v>
      </c>
      <c r="G532" t="s">
        <v>439</v>
      </c>
      <c r="H532" t="s">
        <v>485</v>
      </c>
      <c r="I532">
        <v>3975</v>
      </c>
      <c r="J532">
        <v>1.38</v>
      </c>
      <c r="K532">
        <v>5485.5</v>
      </c>
      <c r="L532">
        <v>0.9</v>
      </c>
      <c r="M532">
        <v>3577.5</v>
      </c>
      <c r="N532">
        <v>1908</v>
      </c>
    </row>
    <row r="533" spans="1:14" x14ac:dyDescent="0.25">
      <c r="A533">
        <v>532</v>
      </c>
      <c r="B533" t="s">
        <v>89</v>
      </c>
      <c r="C533" t="str">
        <f t="shared" si="8"/>
        <v>Dec</v>
      </c>
      <c r="D533">
        <f>YEAR(SalesData[[#This Row],[Date]])</f>
        <v>2024</v>
      </c>
      <c r="E533" t="s">
        <v>363</v>
      </c>
      <c r="F533" t="s">
        <v>369</v>
      </c>
      <c r="G533" t="s">
        <v>432</v>
      </c>
      <c r="H533" t="s">
        <v>474</v>
      </c>
      <c r="I533">
        <v>694</v>
      </c>
      <c r="J533">
        <v>1.1200000000000001</v>
      </c>
      <c r="K533">
        <v>777.28</v>
      </c>
      <c r="L533">
        <v>0.76</v>
      </c>
      <c r="M533">
        <v>527.44000000000005</v>
      </c>
      <c r="N533">
        <v>249.84</v>
      </c>
    </row>
    <row r="534" spans="1:14" x14ac:dyDescent="0.25">
      <c r="A534">
        <v>533</v>
      </c>
      <c r="B534" t="s">
        <v>87</v>
      </c>
      <c r="C534" t="str">
        <f t="shared" si="8"/>
        <v>Feb</v>
      </c>
      <c r="D534">
        <f>YEAR(SalesData[[#This Row],[Date]])</f>
        <v>2024</v>
      </c>
      <c r="E534" t="s">
        <v>363</v>
      </c>
      <c r="F534" t="s">
        <v>367</v>
      </c>
      <c r="G534" t="s">
        <v>445</v>
      </c>
      <c r="H534" t="s">
        <v>471</v>
      </c>
      <c r="I534">
        <v>1077</v>
      </c>
      <c r="J534">
        <v>1.2</v>
      </c>
      <c r="K534">
        <v>1292.4000000000001</v>
      </c>
      <c r="L534">
        <v>0.79</v>
      </c>
      <c r="M534">
        <v>850.83</v>
      </c>
      <c r="N534">
        <v>441.57</v>
      </c>
    </row>
    <row r="535" spans="1:14" x14ac:dyDescent="0.25">
      <c r="A535">
        <v>534</v>
      </c>
      <c r="B535" t="s">
        <v>289</v>
      </c>
      <c r="C535" t="str">
        <f t="shared" si="8"/>
        <v>May</v>
      </c>
      <c r="D535">
        <f>YEAR(SalesData[[#This Row],[Date]])</f>
        <v>2024</v>
      </c>
      <c r="E535" t="s">
        <v>364</v>
      </c>
      <c r="F535" t="s">
        <v>369</v>
      </c>
      <c r="G535" t="s">
        <v>434</v>
      </c>
      <c r="H535" t="s">
        <v>484</v>
      </c>
      <c r="I535">
        <v>4047</v>
      </c>
      <c r="J535">
        <v>1.02</v>
      </c>
      <c r="K535">
        <v>4127.9399999999996</v>
      </c>
      <c r="L535">
        <v>0.71</v>
      </c>
      <c r="M535">
        <v>2873.37</v>
      </c>
      <c r="N535">
        <v>1254.57</v>
      </c>
    </row>
    <row r="536" spans="1:14" x14ac:dyDescent="0.25">
      <c r="A536">
        <v>535</v>
      </c>
      <c r="B536" t="s">
        <v>304</v>
      </c>
      <c r="C536" t="str">
        <f t="shared" si="8"/>
        <v>Mar</v>
      </c>
      <c r="D536">
        <f>YEAR(SalesData[[#This Row],[Date]])</f>
        <v>2024</v>
      </c>
      <c r="E536" t="s">
        <v>363</v>
      </c>
      <c r="F536" t="s">
        <v>367</v>
      </c>
      <c r="G536" t="s">
        <v>463</v>
      </c>
      <c r="H536" t="s">
        <v>479</v>
      </c>
      <c r="I536">
        <v>872</v>
      </c>
      <c r="J536">
        <v>1.29</v>
      </c>
      <c r="K536">
        <v>1124.8800000000001</v>
      </c>
      <c r="L536">
        <v>0.8</v>
      </c>
      <c r="M536">
        <v>697.6</v>
      </c>
      <c r="N536">
        <v>427.28</v>
      </c>
    </row>
    <row r="537" spans="1:14" x14ac:dyDescent="0.25">
      <c r="A537">
        <v>536</v>
      </c>
      <c r="B537" t="s">
        <v>186</v>
      </c>
      <c r="C537" t="str">
        <f t="shared" si="8"/>
        <v>Sep</v>
      </c>
      <c r="D537">
        <f>YEAR(SalesData[[#This Row],[Date]])</f>
        <v>2024</v>
      </c>
      <c r="E537" t="s">
        <v>365</v>
      </c>
      <c r="F537" t="s">
        <v>367</v>
      </c>
      <c r="G537" t="s">
        <v>411</v>
      </c>
      <c r="H537" t="s">
        <v>482</v>
      </c>
      <c r="I537">
        <v>1208</v>
      </c>
      <c r="J537">
        <v>1</v>
      </c>
      <c r="K537">
        <v>1208</v>
      </c>
      <c r="L537">
        <v>0.83</v>
      </c>
      <c r="M537">
        <v>1002.64</v>
      </c>
      <c r="N537">
        <v>205.36</v>
      </c>
    </row>
    <row r="538" spans="1:14" x14ac:dyDescent="0.25">
      <c r="A538">
        <v>537</v>
      </c>
      <c r="B538" t="s">
        <v>123</v>
      </c>
      <c r="C538" t="str">
        <f t="shared" si="8"/>
        <v>Jul</v>
      </c>
      <c r="D538">
        <f>YEAR(SalesData[[#This Row],[Date]])</f>
        <v>2024</v>
      </c>
      <c r="E538" t="s">
        <v>363</v>
      </c>
      <c r="F538" t="s">
        <v>369</v>
      </c>
      <c r="G538" t="s">
        <v>393</v>
      </c>
      <c r="H538" t="s">
        <v>480</v>
      </c>
      <c r="I538">
        <v>4870</v>
      </c>
      <c r="J538">
        <v>0.95</v>
      </c>
      <c r="K538">
        <v>4626.5</v>
      </c>
      <c r="L538">
        <v>0.75</v>
      </c>
      <c r="M538">
        <v>3652.5</v>
      </c>
      <c r="N538">
        <v>974</v>
      </c>
    </row>
    <row r="539" spans="1:14" x14ac:dyDescent="0.25">
      <c r="A539">
        <v>538</v>
      </c>
      <c r="B539" t="s">
        <v>305</v>
      </c>
      <c r="C539" t="str">
        <f t="shared" si="8"/>
        <v>Oct</v>
      </c>
      <c r="D539">
        <f>YEAR(SalesData[[#This Row],[Date]])</f>
        <v>2024</v>
      </c>
      <c r="E539" t="s">
        <v>366</v>
      </c>
      <c r="F539" t="s">
        <v>370</v>
      </c>
      <c r="G539" t="s">
        <v>443</v>
      </c>
      <c r="H539" t="s">
        <v>475</v>
      </c>
      <c r="I539">
        <v>591</v>
      </c>
      <c r="J539">
        <v>1.19</v>
      </c>
      <c r="K539">
        <v>703.29</v>
      </c>
      <c r="L539">
        <v>0.88</v>
      </c>
      <c r="M539">
        <v>520.08000000000004</v>
      </c>
      <c r="N539">
        <v>183.21</v>
      </c>
    </row>
    <row r="540" spans="1:14" x14ac:dyDescent="0.25">
      <c r="A540">
        <v>539</v>
      </c>
      <c r="B540" t="s">
        <v>62</v>
      </c>
      <c r="C540" t="str">
        <f t="shared" si="8"/>
        <v>Mar</v>
      </c>
      <c r="D540">
        <f>YEAR(SalesData[[#This Row],[Date]])</f>
        <v>2024</v>
      </c>
      <c r="E540" t="s">
        <v>363</v>
      </c>
      <c r="F540" t="s">
        <v>367</v>
      </c>
      <c r="G540" t="s">
        <v>415</v>
      </c>
      <c r="H540" t="s">
        <v>489</v>
      </c>
      <c r="I540">
        <v>3728</v>
      </c>
      <c r="J540">
        <v>1.18</v>
      </c>
      <c r="K540">
        <v>4399.04</v>
      </c>
      <c r="L540">
        <v>0.99</v>
      </c>
      <c r="M540">
        <v>3690.72</v>
      </c>
      <c r="N540">
        <v>708.32</v>
      </c>
    </row>
    <row r="541" spans="1:14" x14ac:dyDescent="0.25">
      <c r="A541">
        <v>540</v>
      </c>
      <c r="B541" t="s">
        <v>286</v>
      </c>
      <c r="C541" t="str">
        <f t="shared" si="8"/>
        <v>Jun</v>
      </c>
      <c r="D541">
        <f>YEAR(SalesData[[#This Row],[Date]])</f>
        <v>2024</v>
      </c>
      <c r="E541" t="s">
        <v>365</v>
      </c>
      <c r="F541" t="s">
        <v>368</v>
      </c>
      <c r="G541" t="s">
        <v>381</v>
      </c>
      <c r="H541" t="s">
        <v>481</v>
      </c>
      <c r="I541">
        <v>4698</v>
      </c>
      <c r="J541">
        <v>0.9</v>
      </c>
      <c r="K541">
        <v>4228.2</v>
      </c>
      <c r="L541">
        <v>0.57999999999999996</v>
      </c>
      <c r="M541">
        <v>2724.84</v>
      </c>
      <c r="N541">
        <v>1503.36</v>
      </c>
    </row>
    <row r="542" spans="1:14" x14ac:dyDescent="0.25">
      <c r="A542">
        <v>541</v>
      </c>
      <c r="B542" t="s">
        <v>301</v>
      </c>
      <c r="C542" t="str">
        <f t="shared" si="8"/>
        <v>Nov</v>
      </c>
      <c r="D542">
        <f>YEAR(SalesData[[#This Row],[Date]])</f>
        <v>2024</v>
      </c>
      <c r="E542" t="s">
        <v>366</v>
      </c>
      <c r="F542" t="s">
        <v>370</v>
      </c>
      <c r="G542" t="s">
        <v>409</v>
      </c>
      <c r="H542" t="s">
        <v>480</v>
      </c>
      <c r="I542">
        <v>945</v>
      </c>
      <c r="J542">
        <v>1.4</v>
      </c>
      <c r="K542">
        <v>1323</v>
      </c>
      <c r="L542">
        <v>1.17</v>
      </c>
      <c r="M542">
        <v>1105.6500000000001</v>
      </c>
      <c r="N542">
        <v>217.35</v>
      </c>
    </row>
    <row r="543" spans="1:14" x14ac:dyDescent="0.25">
      <c r="A543">
        <v>542</v>
      </c>
      <c r="B543" t="s">
        <v>107</v>
      </c>
      <c r="C543" t="str">
        <f t="shared" si="8"/>
        <v>Oct</v>
      </c>
      <c r="D543">
        <f>YEAR(SalesData[[#This Row],[Date]])</f>
        <v>2024</v>
      </c>
      <c r="E543" t="s">
        <v>363</v>
      </c>
      <c r="F543" t="s">
        <v>369</v>
      </c>
      <c r="G543" t="s">
        <v>386</v>
      </c>
      <c r="H543" t="s">
        <v>486</v>
      </c>
      <c r="I543">
        <v>2553</v>
      </c>
      <c r="J543">
        <v>0.87</v>
      </c>
      <c r="K543">
        <v>2221.11</v>
      </c>
      <c r="L543">
        <v>0.68</v>
      </c>
      <c r="M543">
        <v>1736.04</v>
      </c>
      <c r="N543">
        <v>485.07</v>
      </c>
    </row>
    <row r="544" spans="1:14" x14ac:dyDescent="0.25">
      <c r="A544">
        <v>543</v>
      </c>
      <c r="B544" t="s">
        <v>147</v>
      </c>
      <c r="C544" t="str">
        <f t="shared" si="8"/>
        <v>Sep</v>
      </c>
      <c r="D544">
        <f>YEAR(SalesData[[#This Row],[Date]])</f>
        <v>2024</v>
      </c>
      <c r="E544" t="s">
        <v>365</v>
      </c>
      <c r="F544" t="s">
        <v>370</v>
      </c>
      <c r="G544" t="s">
        <v>410</v>
      </c>
      <c r="H544" t="s">
        <v>477</v>
      </c>
      <c r="I544">
        <v>1319</v>
      </c>
      <c r="J544">
        <v>1</v>
      </c>
      <c r="K544">
        <v>1319</v>
      </c>
      <c r="L544">
        <v>0.62</v>
      </c>
      <c r="M544">
        <v>817.78</v>
      </c>
      <c r="N544">
        <v>501.22</v>
      </c>
    </row>
    <row r="545" spans="1:14" x14ac:dyDescent="0.25">
      <c r="A545">
        <v>544</v>
      </c>
      <c r="B545" t="s">
        <v>302</v>
      </c>
      <c r="C545" t="str">
        <f t="shared" si="8"/>
        <v>Apr</v>
      </c>
      <c r="D545">
        <f>YEAR(SalesData[[#This Row],[Date]])</f>
        <v>2024</v>
      </c>
      <c r="E545" t="s">
        <v>364</v>
      </c>
      <c r="F545" t="s">
        <v>370</v>
      </c>
      <c r="G545" t="s">
        <v>434</v>
      </c>
      <c r="H545" t="s">
        <v>487</v>
      </c>
      <c r="I545">
        <v>3004</v>
      </c>
      <c r="J545">
        <v>1.29</v>
      </c>
      <c r="K545">
        <v>3875.16</v>
      </c>
      <c r="L545">
        <v>0.82</v>
      </c>
      <c r="M545">
        <v>2463.2800000000002</v>
      </c>
      <c r="N545">
        <v>1411.88</v>
      </c>
    </row>
    <row r="546" spans="1:14" x14ac:dyDescent="0.25">
      <c r="A546">
        <v>545</v>
      </c>
      <c r="B546" t="s">
        <v>206</v>
      </c>
      <c r="C546" t="str">
        <f t="shared" si="8"/>
        <v>Oct</v>
      </c>
      <c r="D546">
        <f>YEAR(SalesData[[#This Row],[Date]])</f>
        <v>2024</v>
      </c>
      <c r="E546" t="s">
        <v>365</v>
      </c>
      <c r="F546" t="s">
        <v>370</v>
      </c>
      <c r="G546" t="s">
        <v>449</v>
      </c>
      <c r="H546" t="s">
        <v>480</v>
      </c>
      <c r="I546">
        <v>539</v>
      </c>
      <c r="J546">
        <v>1.02</v>
      </c>
      <c r="K546">
        <v>549.78</v>
      </c>
      <c r="L546">
        <v>0.81</v>
      </c>
      <c r="M546">
        <v>436.59</v>
      </c>
      <c r="N546">
        <v>113.19</v>
      </c>
    </row>
    <row r="547" spans="1:14" x14ac:dyDescent="0.25">
      <c r="A547">
        <v>546</v>
      </c>
      <c r="B547" t="s">
        <v>228</v>
      </c>
      <c r="C547" t="str">
        <f t="shared" si="8"/>
        <v>Dec</v>
      </c>
      <c r="D547">
        <f>YEAR(SalesData[[#This Row],[Date]])</f>
        <v>2024</v>
      </c>
      <c r="E547" t="s">
        <v>365</v>
      </c>
      <c r="F547" t="s">
        <v>369</v>
      </c>
      <c r="G547" t="s">
        <v>383</v>
      </c>
      <c r="H547" t="s">
        <v>474</v>
      </c>
      <c r="I547">
        <v>3216</v>
      </c>
      <c r="J547">
        <v>1.41</v>
      </c>
      <c r="K547">
        <v>4534.5600000000004</v>
      </c>
      <c r="L547">
        <v>1.01</v>
      </c>
      <c r="M547">
        <v>3248.16</v>
      </c>
      <c r="N547">
        <v>1286.4000000000001</v>
      </c>
    </row>
    <row r="548" spans="1:14" x14ac:dyDescent="0.25">
      <c r="A548">
        <v>547</v>
      </c>
      <c r="B548" t="s">
        <v>306</v>
      </c>
      <c r="C548" t="str">
        <f t="shared" si="8"/>
        <v>Jul</v>
      </c>
      <c r="D548">
        <f>YEAR(SalesData[[#This Row],[Date]])</f>
        <v>2024</v>
      </c>
      <c r="E548" t="s">
        <v>364</v>
      </c>
      <c r="F548" t="s">
        <v>370</v>
      </c>
      <c r="G548" t="s">
        <v>385</v>
      </c>
      <c r="H548" t="s">
        <v>488</v>
      </c>
      <c r="I548">
        <v>1939</v>
      </c>
      <c r="J548">
        <v>1.25</v>
      </c>
      <c r="K548">
        <v>2423.75</v>
      </c>
      <c r="L548">
        <v>0.78</v>
      </c>
      <c r="M548">
        <v>1512.42</v>
      </c>
      <c r="N548">
        <v>911.33</v>
      </c>
    </row>
    <row r="549" spans="1:14" x14ac:dyDescent="0.25">
      <c r="A549">
        <v>548</v>
      </c>
      <c r="B549" t="s">
        <v>269</v>
      </c>
      <c r="C549" t="str">
        <f t="shared" si="8"/>
        <v>May</v>
      </c>
      <c r="D549">
        <f>YEAR(SalesData[[#This Row],[Date]])</f>
        <v>2024</v>
      </c>
      <c r="E549" t="s">
        <v>366</v>
      </c>
      <c r="F549" t="s">
        <v>368</v>
      </c>
      <c r="G549" t="s">
        <v>382</v>
      </c>
      <c r="H549" t="s">
        <v>486</v>
      </c>
      <c r="I549">
        <v>1117</v>
      </c>
      <c r="J549">
        <v>1.42</v>
      </c>
      <c r="K549">
        <v>1586.14</v>
      </c>
      <c r="L549">
        <v>1.1499999999999999</v>
      </c>
      <c r="M549">
        <v>1284.55</v>
      </c>
      <c r="N549">
        <v>301.58999999999997</v>
      </c>
    </row>
    <row r="550" spans="1:14" x14ac:dyDescent="0.25">
      <c r="A550">
        <v>549</v>
      </c>
      <c r="B550" t="s">
        <v>118</v>
      </c>
      <c r="C550" t="str">
        <f t="shared" si="8"/>
        <v>Nov</v>
      </c>
      <c r="D550">
        <f>YEAR(SalesData[[#This Row],[Date]])</f>
        <v>2024</v>
      </c>
      <c r="E550" t="s">
        <v>364</v>
      </c>
      <c r="F550" t="s">
        <v>367</v>
      </c>
      <c r="G550" t="s">
        <v>380</v>
      </c>
      <c r="H550" t="s">
        <v>479</v>
      </c>
      <c r="I550">
        <v>2242</v>
      </c>
      <c r="J550">
        <v>1.43</v>
      </c>
      <c r="K550">
        <v>3206.06</v>
      </c>
      <c r="L550">
        <v>1.06</v>
      </c>
      <c r="M550">
        <v>2376.52</v>
      </c>
      <c r="N550">
        <v>829.54</v>
      </c>
    </row>
    <row r="551" spans="1:14" x14ac:dyDescent="0.25">
      <c r="A551">
        <v>550</v>
      </c>
      <c r="B551" t="s">
        <v>113</v>
      </c>
      <c r="C551" t="str">
        <f t="shared" si="8"/>
        <v>Oct</v>
      </c>
      <c r="D551">
        <f>YEAR(SalesData[[#This Row],[Date]])</f>
        <v>2024</v>
      </c>
      <c r="E551" t="s">
        <v>366</v>
      </c>
      <c r="F551" t="s">
        <v>369</v>
      </c>
      <c r="G551" t="s">
        <v>383</v>
      </c>
      <c r="H551" t="s">
        <v>484</v>
      </c>
      <c r="I551">
        <v>2329</v>
      </c>
      <c r="J551">
        <v>1.42</v>
      </c>
      <c r="K551">
        <v>3307.18</v>
      </c>
      <c r="L551">
        <v>1.06</v>
      </c>
      <c r="M551">
        <v>2468.7399999999998</v>
      </c>
      <c r="N551">
        <v>838.44</v>
      </c>
    </row>
    <row r="552" spans="1:14" x14ac:dyDescent="0.25">
      <c r="A552">
        <v>551</v>
      </c>
      <c r="B552" t="s">
        <v>183</v>
      </c>
      <c r="C552" t="str">
        <f t="shared" si="8"/>
        <v>May</v>
      </c>
      <c r="D552">
        <f>YEAR(SalesData[[#This Row],[Date]])</f>
        <v>2024</v>
      </c>
      <c r="E552" t="s">
        <v>364</v>
      </c>
      <c r="F552" t="s">
        <v>368</v>
      </c>
      <c r="G552" t="s">
        <v>405</v>
      </c>
      <c r="H552" t="s">
        <v>490</v>
      </c>
      <c r="I552">
        <v>1241</v>
      </c>
      <c r="J552">
        <v>1.08</v>
      </c>
      <c r="K552">
        <v>1340.28</v>
      </c>
      <c r="L552">
        <v>0.78</v>
      </c>
      <c r="M552">
        <v>967.98</v>
      </c>
      <c r="N552">
        <v>372.3</v>
      </c>
    </row>
    <row r="553" spans="1:14" x14ac:dyDescent="0.25">
      <c r="A553">
        <v>552</v>
      </c>
      <c r="B553" t="s">
        <v>307</v>
      </c>
      <c r="C553" t="str">
        <f t="shared" si="8"/>
        <v>Dec</v>
      </c>
      <c r="D553">
        <f>YEAR(SalesData[[#This Row],[Date]])</f>
        <v>2024</v>
      </c>
      <c r="E553" t="s">
        <v>366</v>
      </c>
      <c r="F553" t="s">
        <v>368</v>
      </c>
      <c r="G553" t="s">
        <v>463</v>
      </c>
      <c r="H553" t="s">
        <v>490</v>
      </c>
      <c r="I553">
        <v>1649</v>
      </c>
      <c r="J553">
        <v>1.1100000000000001</v>
      </c>
      <c r="K553">
        <v>1830.39</v>
      </c>
      <c r="L553">
        <v>0.72</v>
      </c>
      <c r="M553">
        <v>1187.28</v>
      </c>
      <c r="N553">
        <v>643.11</v>
      </c>
    </row>
    <row r="554" spans="1:14" x14ac:dyDescent="0.25">
      <c r="A554">
        <v>553</v>
      </c>
      <c r="B554" t="s">
        <v>252</v>
      </c>
      <c r="C554" t="str">
        <f t="shared" si="8"/>
        <v>Oct</v>
      </c>
      <c r="D554">
        <f>YEAR(SalesData[[#This Row],[Date]])</f>
        <v>2024</v>
      </c>
      <c r="E554" t="s">
        <v>364</v>
      </c>
      <c r="F554" t="s">
        <v>368</v>
      </c>
      <c r="G554" t="s">
        <v>375</v>
      </c>
      <c r="H554" t="s">
        <v>478</v>
      </c>
      <c r="I554">
        <v>2292</v>
      </c>
      <c r="J554">
        <v>1.33</v>
      </c>
      <c r="K554">
        <v>3048.36</v>
      </c>
      <c r="L554">
        <v>0.88</v>
      </c>
      <c r="M554">
        <v>2016.96</v>
      </c>
      <c r="N554">
        <v>1031.4000000000001</v>
      </c>
    </row>
    <row r="555" spans="1:14" x14ac:dyDescent="0.25">
      <c r="A555">
        <v>554</v>
      </c>
      <c r="B555" t="s">
        <v>308</v>
      </c>
      <c r="C555" t="str">
        <f t="shared" si="8"/>
        <v>May</v>
      </c>
      <c r="D555">
        <f>YEAR(SalesData[[#This Row],[Date]])</f>
        <v>2024</v>
      </c>
      <c r="E555" t="s">
        <v>366</v>
      </c>
      <c r="F555" t="s">
        <v>370</v>
      </c>
      <c r="G555" t="s">
        <v>377</v>
      </c>
      <c r="H555" t="s">
        <v>485</v>
      </c>
      <c r="I555">
        <v>4742</v>
      </c>
      <c r="J555">
        <v>1.44</v>
      </c>
      <c r="K555">
        <v>6828.48</v>
      </c>
      <c r="L555">
        <v>0.99</v>
      </c>
      <c r="M555">
        <v>4694.58</v>
      </c>
      <c r="N555">
        <v>2133.9</v>
      </c>
    </row>
    <row r="556" spans="1:14" x14ac:dyDescent="0.25">
      <c r="A556">
        <v>555</v>
      </c>
      <c r="B556" t="s">
        <v>56</v>
      </c>
      <c r="C556" t="str">
        <f t="shared" si="8"/>
        <v>Aug</v>
      </c>
      <c r="D556">
        <f>YEAR(SalesData[[#This Row],[Date]])</f>
        <v>2024</v>
      </c>
      <c r="E556" t="s">
        <v>363</v>
      </c>
      <c r="F556" t="s">
        <v>369</v>
      </c>
      <c r="G556" t="s">
        <v>377</v>
      </c>
      <c r="H556" t="s">
        <v>487</v>
      </c>
      <c r="I556">
        <v>1345</v>
      </c>
      <c r="J556">
        <v>1.29</v>
      </c>
      <c r="K556">
        <v>1735.05</v>
      </c>
      <c r="L556">
        <v>0.94</v>
      </c>
      <c r="M556">
        <v>1264.3</v>
      </c>
      <c r="N556">
        <v>470.75</v>
      </c>
    </row>
    <row r="557" spans="1:14" x14ac:dyDescent="0.25">
      <c r="A557">
        <v>556</v>
      </c>
      <c r="B557" t="s">
        <v>124</v>
      </c>
      <c r="C557" t="str">
        <f t="shared" si="8"/>
        <v>May</v>
      </c>
      <c r="D557">
        <f>YEAR(SalesData[[#This Row],[Date]])</f>
        <v>2024</v>
      </c>
      <c r="E557" t="s">
        <v>366</v>
      </c>
      <c r="F557" t="s">
        <v>370</v>
      </c>
      <c r="G557" t="s">
        <v>464</v>
      </c>
      <c r="H557" t="s">
        <v>484</v>
      </c>
      <c r="I557">
        <v>3492</v>
      </c>
      <c r="J557">
        <v>1.21</v>
      </c>
      <c r="K557">
        <v>4225.32</v>
      </c>
      <c r="L557">
        <v>1</v>
      </c>
      <c r="M557">
        <v>3492</v>
      </c>
      <c r="N557">
        <v>733.32</v>
      </c>
    </row>
    <row r="558" spans="1:14" x14ac:dyDescent="0.25">
      <c r="A558">
        <v>557</v>
      </c>
      <c r="B558" t="s">
        <v>151</v>
      </c>
      <c r="C558" t="str">
        <f t="shared" si="8"/>
        <v>Feb</v>
      </c>
      <c r="D558">
        <f>YEAR(SalesData[[#This Row],[Date]])</f>
        <v>2024</v>
      </c>
      <c r="E558" t="s">
        <v>364</v>
      </c>
      <c r="F558" t="s">
        <v>370</v>
      </c>
      <c r="G558" t="s">
        <v>373</v>
      </c>
      <c r="H558" t="s">
        <v>490</v>
      </c>
      <c r="I558">
        <v>3824</v>
      </c>
      <c r="J558">
        <v>1.05</v>
      </c>
      <c r="K558">
        <v>4015.2</v>
      </c>
      <c r="L558">
        <v>0.86</v>
      </c>
      <c r="M558">
        <v>3288.64</v>
      </c>
      <c r="N558">
        <v>726.56</v>
      </c>
    </row>
    <row r="559" spans="1:14" x14ac:dyDescent="0.25">
      <c r="A559">
        <v>558</v>
      </c>
      <c r="B559" t="s">
        <v>147</v>
      </c>
      <c r="C559" t="str">
        <f t="shared" si="8"/>
        <v>Sep</v>
      </c>
      <c r="D559">
        <f>YEAR(SalesData[[#This Row],[Date]])</f>
        <v>2024</v>
      </c>
      <c r="E559" t="s">
        <v>363</v>
      </c>
      <c r="F559" t="s">
        <v>369</v>
      </c>
      <c r="G559" t="s">
        <v>405</v>
      </c>
      <c r="H559" t="s">
        <v>474</v>
      </c>
      <c r="I559">
        <v>4103</v>
      </c>
      <c r="J559">
        <v>0.92</v>
      </c>
      <c r="K559">
        <v>3774.76</v>
      </c>
      <c r="L559">
        <v>0.56999999999999995</v>
      </c>
      <c r="M559">
        <v>2338.71</v>
      </c>
      <c r="N559">
        <v>1436.05</v>
      </c>
    </row>
    <row r="560" spans="1:14" x14ac:dyDescent="0.25">
      <c r="A560">
        <v>559</v>
      </c>
      <c r="B560" t="s">
        <v>22</v>
      </c>
      <c r="C560" t="str">
        <f t="shared" si="8"/>
        <v>Nov</v>
      </c>
      <c r="D560">
        <f>YEAR(SalesData[[#This Row],[Date]])</f>
        <v>2024</v>
      </c>
      <c r="E560" t="s">
        <v>366</v>
      </c>
      <c r="F560" t="s">
        <v>370</v>
      </c>
      <c r="G560" t="s">
        <v>399</v>
      </c>
      <c r="H560" t="s">
        <v>480</v>
      </c>
      <c r="I560">
        <v>1789</v>
      </c>
      <c r="J560">
        <v>1.05</v>
      </c>
      <c r="K560">
        <v>1878.45</v>
      </c>
      <c r="L560">
        <v>0.82</v>
      </c>
      <c r="M560">
        <v>1466.98</v>
      </c>
      <c r="N560">
        <v>411.47</v>
      </c>
    </row>
    <row r="561" spans="1:14" x14ac:dyDescent="0.25">
      <c r="A561">
        <v>560</v>
      </c>
      <c r="B561" t="s">
        <v>304</v>
      </c>
      <c r="C561" t="str">
        <f t="shared" si="8"/>
        <v>Mar</v>
      </c>
      <c r="D561">
        <f>YEAR(SalesData[[#This Row],[Date]])</f>
        <v>2024</v>
      </c>
      <c r="E561" t="s">
        <v>364</v>
      </c>
      <c r="F561" t="s">
        <v>368</v>
      </c>
      <c r="G561" t="s">
        <v>423</v>
      </c>
      <c r="H561" t="s">
        <v>488</v>
      </c>
      <c r="I561">
        <v>4444</v>
      </c>
      <c r="J561">
        <v>1.27</v>
      </c>
      <c r="K561">
        <v>5643.88</v>
      </c>
      <c r="L561">
        <v>0.91</v>
      </c>
      <c r="M561">
        <v>4044.04</v>
      </c>
      <c r="N561">
        <v>1599.84</v>
      </c>
    </row>
    <row r="562" spans="1:14" x14ac:dyDescent="0.25">
      <c r="A562">
        <v>561</v>
      </c>
      <c r="B562" t="s">
        <v>271</v>
      </c>
      <c r="C562" t="str">
        <f t="shared" si="8"/>
        <v>Oct</v>
      </c>
      <c r="D562">
        <f>YEAR(SalesData[[#This Row],[Date]])</f>
        <v>2024</v>
      </c>
      <c r="E562" t="s">
        <v>364</v>
      </c>
      <c r="F562" t="s">
        <v>368</v>
      </c>
      <c r="G562" t="s">
        <v>467</v>
      </c>
      <c r="H562" t="s">
        <v>477</v>
      </c>
      <c r="I562">
        <v>853</v>
      </c>
      <c r="J562">
        <v>0.89</v>
      </c>
      <c r="K562">
        <v>759.17</v>
      </c>
      <c r="L562">
        <v>0.67</v>
      </c>
      <c r="M562">
        <v>571.51</v>
      </c>
      <c r="N562">
        <v>187.66</v>
      </c>
    </row>
    <row r="563" spans="1:14" x14ac:dyDescent="0.25">
      <c r="A563">
        <v>562</v>
      </c>
      <c r="B563" t="s">
        <v>209</v>
      </c>
      <c r="C563" t="str">
        <f t="shared" si="8"/>
        <v>Mar</v>
      </c>
      <c r="D563">
        <f>YEAR(SalesData[[#This Row],[Date]])</f>
        <v>2024</v>
      </c>
      <c r="E563" t="s">
        <v>366</v>
      </c>
      <c r="F563" t="s">
        <v>367</v>
      </c>
      <c r="G563" t="s">
        <v>400</v>
      </c>
      <c r="H563" t="s">
        <v>480</v>
      </c>
      <c r="I563">
        <v>2615</v>
      </c>
      <c r="J563">
        <v>1.45</v>
      </c>
      <c r="K563">
        <v>3791.75</v>
      </c>
      <c r="L563">
        <v>1.06</v>
      </c>
      <c r="M563">
        <v>2771.9</v>
      </c>
      <c r="N563">
        <v>1019.85</v>
      </c>
    </row>
    <row r="564" spans="1:14" x14ac:dyDescent="0.25">
      <c r="A564">
        <v>563</v>
      </c>
      <c r="B564" t="s">
        <v>243</v>
      </c>
      <c r="C564" t="str">
        <f t="shared" si="8"/>
        <v>Jul</v>
      </c>
      <c r="D564">
        <f>YEAR(SalesData[[#This Row],[Date]])</f>
        <v>2024</v>
      </c>
      <c r="E564" t="s">
        <v>365</v>
      </c>
      <c r="F564" t="s">
        <v>367</v>
      </c>
      <c r="G564" t="s">
        <v>376</v>
      </c>
      <c r="H564" t="s">
        <v>485</v>
      </c>
      <c r="I564">
        <v>4179</v>
      </c>
      <c r="J564">
        <v>1.22</v>
      </c>
      <c r="K564">
        <v>5098.38</v>
      </c>
      <c r="L564">
        <v>0.88</v>
      </c>
      <c r="M564">
        <v>3677.52</v>
      </c>
      <c r="N564">
        <v>1420.86</v>
      </c>
    </row>
    <row r="565" spans="1:14" x14ac:dyDescent="0.25">
      <c r="A565">
        <v>564</v>
      </c>
      <c r="B565" t="s">
        <v>291</v>
      </c>
      <c r="C565" t="str">
        <f t="shared" si="8"/>
        <v>Sep</v>
      </c>
      <c r="D565">
        <f>YEAR(SalesData[[#This Row],[Date]])</f>
        <v>2024</v>
      </c>
      <c r="E565" t="s">
        <v>366</v>
      </c>
      <c r="F565" t="s">
        <v>368</v>
      </c>
      <c r="G565" t="s">
        <v>438</v>
      </c>
      <c r="H565" t="s">
        <v>489</v>
      </c>
      <c r="I565">
        <v>1669</v>
      </c>
      <c r="J565">
        <v>1.36</v>
      </c>
      <c r="K565">
        <v>2269.84</v>
      </c>
      <c r="L565">
        <v>1.0900000000000001</v>
      </c>
      <c r="M565">
        <v>1819.21</v>
      </c>
      <c r="N565">
        <v>450.63</v>
      </c>
    </row>
    <row r="566" spans="1:14" x14ac:dyDescent="0.25">
      <c r="A566">
        <v>565</v>
      </c>
      <c r="B566" t="s">
        <v>290</v>
      </c>
      <c r="C566" t="str">
        <f t="shared" si="8"/>
        <v>Apr</v>
      </c>
      <c r="D566">
        <f>YEAR(SalesData[[#This Row],[Date]])</f>
        <v>2024</v>
      </c>
      <c r="E566" t="s">
        <v>366</v>
      </c>
      <c r="F566" t="s">
        <v>370</v>
      </c>
      <c r="G566" t="s">
        <v>451</v>
      </c>
      <c r="H566" t="s">
        <v>487</v>
      </c>
      <c r="I566">
        <v>4214</v>
      </c>
      <c r="J566">
        <v>1.22</v>
      </c>
      <c r="K566">
        <v>5141.08</v>
      </c>
      <c r="L566">
        <v>0.75</v>
      </c>
      <c r="M566">
        <v>3160.5</v>
      </c>
      <c r="N566">
        <v>1980.58</v>
      </c>
    </row>
    <row r="567" spans="1:14" x14ac:dyDescent="0.25">
      <c r="A567">
        <v>566</v>
      </c>
      <c r="B567" t="s">
        <v>309</v>
      </c>
      <c r="C567" t="str">
        <f t="shared" si="8"/>
        <v>Jul</v>
      </c>
      <c r="D567">
        <f>YEAR(SalesData[[#This Row],[Date]])</f>
        <v>2024</v>
      </c>
      <c r="E567" t="s">
        <v>366</v>
      </c>
      <c r="F567" t="s">
        <v>369</v>
      </c>
      <c r="G567" t="s">
        <v>450</v>
      </c>
      <c r="H567" t="s">
        <v>472</v>
      </c>
      <c r="I567">
        <v>2157</v>
      </c>
      <c r="J567">
        <v>1.17</v>
      </c>
      <c r="K567">
        <v>2523.69</v>
      </c>
      <c r="L567">
        <v>0.97</v>
      </c>
      <c r="M567">
        <v>2092.29</v>
      </c>
      <c r="N567">
        <v>431.4</v>
      </c>
    </row>
    <row r="568" spans="1:14" x14ac:dyDescent="0.25">
      <c r="A568">
        <v>567</v>
      </c>
      <c r="B568" t="s">
        <v>171</v>
      </c>
      <c r="C568" t="str">
        <f t="shared" si="8"/>
        <v>Dec</v>
      </c>
      <c r="D568">
        <f>YEAR(SalesData[[#This Row],[Date]])</f>
        <v>2024</v>
      </c>
      <c r="E568" t="s">
        <v>366</v>
      </c>
      <c r="F568" t="s">
        <v>369</v>
      </c>
      <c r="G568" t="s">
        <v>444</v>
      </c>
      <c r="H568" t="s">
        <v>488</v>
      </c>
      <c r="I568">
        <v>1953</v>
      </c>
      <c r="J568">
        <v>1.1299999999999999</v>
      </c>
      <c r="K568">
        <v>2206.89</v>
      </c>
      <c r="L568">
        <v>0.85</v>
      </c>
      <c r="M568">
        <v>1660.05</v>
      </c>
      <c r="N568">
        <v>546.84</v>
      </c>
    </row>
    <row r="569" spans="1:14" x14ac:dyDescent="0.25">
      <c r="A569">
        <v>568</v>
      </c>
      <c r="B569" t="s">
        <v>204</v>
      </c>
      <c r="C569" t="str">
        <f t="shared" si="8"/>
        <v>Jan</v>
      </c>
      <c r="D569">
        <f>YEAR(SalesData[[#This Row],[Date]])</f>
        <v>2024</v>
      </c>
      <c r="E569" t="s">
        <v>363</v>
      </c>
      <c r="F569" t="s">
        <v>367</v>
      </c>
      <c r="G569" t="s">
        <v>468</v>
      </c>
      <c r="H569" t="s">
        <v>474</v>
      </c>
      <c r="I569">
        <v>4917</v>
      </c>
      <c r="J569">
        <v>1.38</v>
      </c>
      <c r="K569">
        <v>6785.46</v>
      </c>
      <c r="L569">
        <v>1.1399999999999999</v>
      </c>
      <c r="M569">
        <v>5605.38</v>
      </c>
      <c r="N569">
        <v>1180.08</v>
      </c>
    </row>
    <row r="570" spans="1:14" x14ac:dyDescent="0.25">
      <c r="A570">
        <v>569</v>
      </c>
      <c r="B570" t="s">
        <v>310</v>
      </c>
      <c r="C570" t="str">
        <f t="shared" si="8"/>
        <v>Dec</v>
      </c>
      <c r="D570">
        <f>YEAR(SalesData[[#This Row],[Date]])</f>
        <v>2024</v>
      </c>
      <c r="E570" t="s">
        <v>364</v>
      </c>
      <c r="F570" t="s">
        <v>369</v>
      </c>
      <c r="G570" t="s">
        <v>466</v>
      </c>
      <c r="H570" t="s">
        <v>478</v>
      </c>
      <c r="I570">
        <v>4840</v>
      </c>
      <c r="J570">
        <v>1.1000000000000001</v>
      </c>
      <c r="K570">
        <v>5324</v>
      </c>
      <c r="L570">
        <v>0.92</v>
      </c>
      <c r="M570">
        <v>4452.8</v>
      </c>
      <c r="N570">
        <v>871.2</v>
      </c>
    </row>
    <row r="571" spans="1:14" x14ac:dyDescent="0.25">
      <c r="A571">
        <v>570</v>
      </c>
      <c r="B571" t="s">
        <v>291</v>
      </c>
      <c r="C571" t="str">
        <f t="shared" si="8"/>
        <v>Sep</v>
      </c>
      <c r="D571">
        <f>YEAR(SalesData[[#This Row],[Date]])</f>
        <v>2024</v>
      </c>
      <c r="E571" t="s">
        <v>365</v>
      </c>
      <c r="F571" t="s">
        <v>369</v>
      </c>
      <c r="G571" t="s">
        <v>426</v>
      </c>
      <c r="H571" t="s">
        <v>479</v>
      </c>
      <c r="I571">
        <v>1300</v>
      </c>
      <c r="J571">
        <v>1.1000000000000001</v>
      </c>
      <c r="K571">
        <v>1430</v>
      </c>
      <c r="L571">
        <v>0.73</v>
      </c>
      <c r="M571">
        <v>949</v>
      </c>
      <c r="N571">
        <v>481</v>
      </c>
    </row>
    <row r="572" spans="1:14" x14ac:dyDescent="0.25">
      <c r="A572">
        <v>571</v>
      </c>
      <c r="B572" t="s">
        <v>136</v>
      </c>
      <c r="C572" t="str">
        <f t="shared" si="8"/>
        <v>Apr</v>
      </c>
      <c r="D572">
        <f>YEAR(SalesData[[#This Row],[Date]])</f>
        <v>2024</v>
      </c>
      <c r="E572" t="s">
        <v>365</v>
      </c>
      <c r="F572" t="s">
        <v>367</v>
      </c>
      <c r="G572" t="s">
        <v>448</v>
      </c>
      <c r="H572" t="s">
        <v>476</v>
      </c>
      <c r="I572">
        <v>3847</v>
      </c>
      <c r="J572">
        <v>0.98</v>
      </c>
      <c r="K572">
        <v>3770.06</v>
      </c>
      <c r="L572">
        <v>0.59</v>
      </c>
      <c r="M572">
        <v>2269.73</v>
      </c>
      <c r="N572">
        <v>1500.33</v>
      </c>
    </row>
    <row r="573" spans="1:14" x14ac:dyDescent="0.25">
      <c r="A573">
        <v>572</v>
      </c>
      <c r="B573" t="s">
        <v>235</v>
      </c>
      <c r="C573" t="str">
        <f t="shared" si="8"/>
        <v>Jan</v>
      </c>
      <c r="D573">
        <f>YEAR(SalesData[[#This Row],[Date]])</f>
        <v>2024</v>
      </c>
      <c r="E573" t="s">
        <v>363</v>
      </c>
      <c r="F573" t="s">
        <v>367</v>
      </c>
      <c r="G573" t="s">
        <v>464</v>
      </c>
      <c r="H573" t="s">
        <v>485</v>
      </c>
      <c r="I573">
        <v>3087</v>
      </c>
      <c r="J573">
        <v>1.0900000000000001</v>
      </c>
      <c r="K573">
        <v>3364.83</v>
      </c>
      <c r="L573">
        <v>0.68</v>
      </c>
      <c r="M573">
        <v>2099.16</v>
      </c>
      <c r="N573">
        <v>1265.67</v>
      </c>
    </row>
    <row r="574" spans="1:14" x14ac:dyDescent="0.25">
      <c r="A574">
        <v>573</v>
      </c>
      <c r="B574" t="s">
        <v>139</v>
      </c>
      <c r="C574" t="str">
        <f t="shared" si="8"/>
        <v>Aug</v>
      </c>
      <c r="D574">
        <f>YEAR(SalesData[[#This Row],[Date]])</f>
        <v>2024</v>
      </c>
      <c r="E574" t="s">
        <v>365</v>
      </c>
      <c r="F574" t="s">
        <v>370</v>
      </c>
      <c r="G574" t="s">
        <v>379</v>
      </c>
      <c r="H574" t="s">
        <v>481</v>
      </c>
      <c r="I574">
        <v>3495</v>
      </c>
      <c r="J574">
        <v>1.23</v>
      </c>
      <c r="K574">
        <v>4298.8500000000004</v>
      </c>
      <c r="L574">
        <v>1.04</v>
      </c>
      <c r="M574">
        <v>3634.8</v>
      </c>
      <c r="N574">
        <v>664.05</v>
      </c>
    </row>
    <row r="575" spans="1:14" x14ac:dyDescent="0.25">
      <c r="A575">
        <v>574</v>
      </c>
      <c r="B575" t="s">
        <v>226</v>
      </c>
      <c r="C575" t="str">
        <f t="shared" si="8"/>
        <v>Jul</v>
      </c>
      <c r="D575">
        <f>YEAR(SalesData[[#This Row],[Date]])</f>
        <v>2024</v>
      </c>
      <c r="E575" t="s">
        <v>364</v>
      </c>
      <c r="F575" t="s">
        <v>368</v>
      </c>
      <c r="G575" t="s">
        <v>385</v>
      </c>
      <c r="H575" t="s">
        <v>476</v>
      </c>
      <c r="I575">
        <v>4452</v>
      </c>
      <c r="J575">
        <v>0.93</v>
      </c>
      <c r="K575">
        <v>4140.3599999999997</v>
      </c>
      <c r="L575">
        <v>0.69</v>
      </c>
      <c r="M575">
        <v>3071.88</v>
      </c>
      <c r="N575">
        <v>1068.48</v>
      </c>
    </row>
    <row r="576" spans="1:14" x14ac:dyDescent="0.25">
      <c r="A576">
        <v>575</v>
      </c>
      <c r="B576" t="s">
        <v>242</v>
      </c>
      <c r="C576" t="str">
        <f t="shared" si="8"/>
        <v>Sep</v>
      </c>
      <c r="D576">
        <f>YEAR(SalesData[[#This Row],[Date]])</f>
        <v>2024</v>
      </c>
      <c r="E576" t="s">
        <v>365</v>
      </c>
      <c r="F576" t="s">
        <v>370</v>
      </c>
      <c r="G576" t="s">
        <v>415</v>
      </c>
      <c r="H576" t="s">
        <v>475</v>
      </c>
      <c r="I576">
        <v>3761</v>
      </c>
      <c r="J576">
        <v>1.32</v>
      </c>
      <c r="K576">
        <v>4964.5200000000004</v>
      </c>
      <c r="L576">
        <v>1.07</v>
      </c>
      <c r="M576">
        <v>4024.27</v>
      </c>
      <c r="N576">
        <v>940.25</v>
      </c>
    </row>
    <row r="577" spans="1:14" x14ac:dyDescent="0.25">
      <c r="A577">
        <v>576</v>
      </c>
      <c r="B577" t="s">
        <v>311</v>
      </c>
      <c r="C577" t="str">
        <f t="shared" si="8"/>
        <v>Dec</v>
      </c>
      <c r="D577">
        <f>YEAR(SalesData[[#This Row],[Date]])</f>
        <v>2024</v>
      </c>
      <c r="E577" t="s">
        <v>366</v>
      </c>
      <c r="F577" t="s">
        <v>367</v>
      </c>
      <c r="G577" t="s">
        <v>434</v>
      </c>
      <c r="H577" t="s">
        <v>480</v>
      </c>
      <c r="I577">
        <v>1321</v>
      </c>
      <c r="J577">
        <v>0.95</v>
      </c>
      <c r="K577">
        <v>1254.95</v>
      </c>
      <c r="L577">
        <v>0.67</v>
      </c>
      <c r="M577">
        <v>885.07</v>
      </c>
      <c r="N577">
        <v>369.88</v>
      </c>
    </row>
    <row r="578" spans="1:14" x14ac:dyDescent="0.25">
      <c r="A578">
        <v>577</v>
      </c>
      <c r="B578" t="s">
        <v>312</v>
      </c>
      <c r="C578" t="str">
        <f t="shared" ref="C578:C641" si="9">TEXT(B578,"mmm")</f>
        <v>Jun</v>
      </c>
      <c r="D578">
        <f>YEAR(SalesData[[#This Row],[Date]])</f>
        <v>2024</v>
      </c>
      <c r="E578" t="s">
        <v>366</v>
      </c>
      <c r="F578" t="s">
        <v>367</v>
      </c>
      <c r="G578" t="s">
        <v>440</v>
      </c>
      <c r="H578" t="s">
        <v>472</v>
      </c>
      <c r="I578">
        <v>1246</v>
      </c>
      <c r="J578">
        <v>1.38</v>
      </c>
      <c r="K578">
        <v>1719.48</v>
      </c>
      <c r="L578">
        <v>0.99</v>
      </c>
      <c r="M578">
        <v>1233.54</v>
      </c>
      <c r="N578">
        <v>485.94</v>
      </c>
    </row>
    <row r="579" spans="1:14" x14ac:dyDescent="0.25">
      <c r="A579">
        <v>578</v>
      </c>
      <c r="B579" t="s">
        <v>288</v>
      </c>
      <c r="C579" t="str">
        <f t="shared" si="9"/>
        <v>Nov</v>
      </c>
      <c r="D579">
        <f>YEAR(SalesData[[#This Row],[Date]])</f>
        <v>2024</v>
      </c>
      <c r="E579" t="s">
        <v>363</v>
      </c>
      <c r="F579" t="s">
        <v>369</v>
      </c>
      <c r="G579" t="s">
        <v>458</v>
      </c>
      <c r="H579" t="s">
        <v>471</v>
      </c>
      <c r="I579">
        <v>2316</v>
      </c>
      <c r="J579">
        <v>1.06</v>
      </c>
      <c r="K579">
        <v>2454.96</v>
      </c>
      <c r="L579">
        <v>0.8</v>
      </c>
      <c r="M579">
        <v>1852.8</v>
      </c>
      <c r="N579">
        <v>602.16</v>
      </c>
    </row>
    <row r="580" spans="1:14" x14ac:dyDescent="0.25">
      <c r="A580">
        <v>579</v>
      </c>
      <c r="B580" t="s">
        <v>179</v>
      </c>
      <c r="C580" t="str">
        <f t="shared" si="9"/>
        <v>Jul</v>
      </c>
      <c r="D580">
        <f>YEAR(SalesData[[#This Row],[Date]])</f>
        <v>2024</v>
      </c>
      <c r="E580" t="s">
        <v>365</v>
      </c>
      <c r="F580" t="s">
        <v>369</v>
      </c>
      <c r="G580" t="s">
        <v>390</v>
      </c>
      <c r="H580" t="s">
        <v>489</v>
      </c>
      <c r="I580">
        <v>970</v>
      </c>
      <c r="J580">
        <v>1.46</v>
      </c>
      <c r="K580">
        <v>1416.2</v>
      </c>
      <c r="L580">
        <v>1.18</v>
      </c>
      <c r="M580">
        <v>1144.5999999999999</v>
      </c>
      <c r="N580">
        <v>271.60000000000002</v>
      </c>
    </row>
    <row r="581" spans="1:14" x14ac:dyDescent="0.25">
      <c r="A581">
        <v>580</v>
      </c>
      <c r="B581" t="s">
        <v>12</v>
      </c>
      <c r="C581" t="str">
        <f t="shared" si="9"/>
        <v>Nov</v>
      </c>
      <c r="D581">
        <f>YEAR(SalesData[[#This Row],[Date]])</f>
        <v>2024</v>
      </c>
      <c r="E581" t="s">
        <v>364</v>
      </c>
      <c r="F581" t="s">
        <v>369</v>
      </c>
      <c r="G581" t="s">
        <v>447</v>
      </c>
      <c r="H581" t="s">
        <v>485</v>
      </c>
      <c r="I581">
        <v>4744</v>
      </c>
      <c r="J581">
        <v>1</v>
      </c>
      <c r="K581">
        <v>4744</v>
      </c>
      <c r="L581">
        <v>0.61</v>
      </c>
      <c r="M581">
        <v>2893.84</v>
      </c>
      <c r="N581">
        <v>1850.16</v>
      </c>
    </row>
    <row r="582" spans="1:14" x14ac:dyDescent="0.25">
      <c r="A582">
        <v>581</v>
      </c>
      <c r="B582" t="s">
        <v>313</v>
      </c>
      <c r="C582" t="str">
        <f t="shared" si="9"/>
        <v>Nov</v>
      </c>
      <c r="D582">
        <f>YEAR(SalesData[[#This Row],[Date]])</f>
        <v>2024</v>
      </c>
      <c r="E582" t="s">
        <v>366</v>
      </c>
      <c r="F582" t="s">
        <v>368</v>
      </c>
      <c r="G582" t="s">
        <v>414</v>
      </c>
      <c r="H582" t="s">
        <v>478</v>
      </c>
      <c r="I582">
        <v>3446</v>
      </c>
      <c r="J582">
        <v>0.97</v>
      </c>
      <c r="K582">
        <v>3342.62</v>
      </c>
      <c r="L582">
        <v>0.57999999999999996</v>
      </c>
      <c r="M582">
        <v>1998.68</v>
      </c>
      <c r="N582">
        <v>1343.94</v>
      </c>
    </row>
    <row r="583" spans="1:14" x14ac:dyDescent="0.25">
      <c r="A583">
        <v>582</v>
      </c>
      <c r="B583" t="s">
        <v>42</v>
      </c>
      <c r="C583" t="str">
        <f t="shared" si="9"/>
        <v>Mar</v>
      </c>
      <c r="D583">
        <f>YEAR(SalesData[[#This Row],[Date]])</f>
        <v>2024</v>
      </c>
      <c r="E583" t="s">
        <v>365</v>
      </c>
      <c r="F583" t="s">
        <v>367</v>
      </c>
      <c r="G583" t="s">
        <v>427</v>
      </c>
      <c r="H583" t="s">
        <v>484</v>
      </c>
      <c r="I583">
        <v>3392</v>
      </c>
      <c r="J583">
        <v>1.27</v>
      </c>
      <c r="K583">
        <v>4307.84</v>
      </c>
      <c r="L583">
        <v>0.89</v>
      </c>
      <c r="M583">
        <v>3018.88</v>
      </c>
      <c r="N583">
        <v>1288.96</v>
      </c>
    </row>
    <row r="584" spans="1:14" x14ac:dyDescent="0.25">
      <c r="A584">
        <v>583</v>
      </c>
      <c r="B584" t="s">
        <v>161</v>
      </c>
      <c r="C584" t="str">
        <f t="shared" si="9"/>
        <v>Apr</v>
      </c>
      <c r="D584">
        <f>YEAR(SalesData[[#This Row],[Date]])</f>
        <v>2024</v>
      </c>
      <c r="E584" t="s">
        <v>363</v>
      </c>
      <c r="F584" t="s">
        <v>367</v>
      </c>
      <c r="G584" t="s">
        <v>437</v>
      </c>
      <c r="H584" t="s">
        <v>476</v>
      </c>
      <c r="I584">
        <v>2830</v>
      </c>
      <c r="J584">
        <v>1.31</v>
      </c>
      <c r="K584">
        <v>3707.3</v>
      </c>
      <c r="L584">
        <v>0.97</v>
      </c>
      <c r="M584">
        <v>2745.1</v>
      </c>
      <c r="N584">
        <v>962.2</v>
      </c>
    </row>
    <row r="585" spans="1:14" x14ac:dyDescent="0.25">
      <c r="A585">
        <v>584</v>
      </c>
      <c r="B585" t="s">
        <v>52</v>
      </c>
      <c r="C585" t="str">
        <f t="shared" si="9"/>
        <v>Oct</v>
      </c>
      <c r="D585">
        <f>YEAR(SalesData[[#This Row],[Date]])</f>
        <v>2024</v>
      </c>
      <c r="E585" t="s">
        <v>365</v>
      </c>
      <c r="F585" t="s">
        <v>370</v>
      </c>
      <c r="G585" t="s">
        <v>374</v>
      </c>
      <c r="H585" t="s">
        <v>477</v>
      </c>
      <c r="I585">
        <v>2093</v>
      </c>
      <c r="J585">
        <v>1.1200000000000001</v>
      </c>
      <c r="K585">
        <v>2344.16</v>
      </c>
      <c r="L585">
        <v>0.79</v>
      </c>
      <c r="M585">
        <v>1653.47</v>
      </c>
      <c r="N585">
        <v>690.69</v>
      </c>
    </row>
    <row r="586" spans="1:14" x14ac:dyDescent="0.25">
      <c r="A586">
        <v>585</v>
      </c>
      <c r="B586" t="s">
        <v>314</v>
      </c>
      <c r="C586" t="str">
        <f t="shared" si="9"/>
        <v>Jan</v>
      </c>
      <c r="D586">
        <f>YEAR(SalesData[[#This Row],[Date]])</f>
        <v>2024</v>
      </c>
      <c r="E586" t="s">
        <v>366</v>
      </c>
      <c r="F586" t="s">
        <v>370</v>
      </c>
      <c r="G586" t="s">
        <v>438</v>
      </c>
      <c r="H586" t="s">
        <v>490</v>
      </c>
      <c r="I586">
        <v>1372</v>
      </c>
      <c r="J586">
        <v>1.19</v>
      </c>
      <c r="K586">
        <v>1632.68</v>
      </c>
      <c r="L586">
        <v>0.86</v>
      </c>
      <c r="M586">
        <v>1179.92</v>
      </c>
      <c r="N586">
        <v>452.76</v>
      </c>
    </row>
    <row r="587" spans="1:14" x14ac:dyDescent="0.25">
      <c r="A587">
        <v>586</v>
      </c>
      <c r="B587" t="s">
        <v>315</v>
      </c>
      <c r="C587" t="str">
        <f t="shared" si="9"/>
        <v>Jun</v>
      </c>
      <c r="D587">
        <f>YEAR(SalesData[[#This Row],[Date]])</f>
        <v>2024</v>
      </c>
      <c r="E587" t="s">
        <v>365</v>
      </c>
      <c r="F587" t="s">
        <v>367</v>
      </c>
      <c r="G587" t="s">
        <v>379</v>
      </c>
      <c r="H587" t="s">
        <v>479</v>
      </c>
      <c r="I587">
        <v>2549</v>
      </c>
      <c r="J587">
        <v>1.29</v>
      </c>
      <c r="K587">
        <v>3288.21</v>
      </c>
      <c r="L587">
        <v>1.0900000000000001</v>
      </c>
      <c r="M587">
        <v>2778.41</v>
      </c>
      <c r="N587">
        <v>509.8</v>
      </c>
    </row>
    <row r="588" spans="1:14" x14ac:dyDescent="0.25">
      <c r="A588">
        <v>587</v>
      </c>
      <c r="B588" t="s">
        <v>316</v>
      </c>
      <c r="C588" t="str">
        <f t="shared" si="9"/>
        <v>Oct</v>
      </c>
      <c r="D588">
        <f>YEAR(SalesData[[#This Row],[Date]])</f>
        <v>2024</v>
      </c>
      <c r="E588" t="s">
        <v>366</v>
      </c>
      <c r="F588" t="s">
        <v>369</v>
      </c>
      <c r="G588" t="s">
        <v>463</v>
      </c>
      <c r="H588" t="s">
        <v>487</v>
      </c>
      <c r="I588">
        <v>4258</v>
      </c>
      <c r="J588">
        <v>1.28</v>
      </c>
      <c r="K588">
        <v>5450.24</v>
      </c>
      <c r="L588">
        <v>1.05</v>
      </c>
      <c r="M588">
        <v>4470.8999999999996</v>
      </c>
      <c r="N588">
        <v>979.34</v>
      </c>
    </row>
    <row r="589" spans="1:14" x14ac:dyDescent="0.25">
      <c r="A589">
        <v>588</v>
      </c>
      <c r="B589" t="s">
        <v>189</v>
      </c>
      <c r="C589" t="str">
        <f t="shared" si="9"/>
        <v>Jan</v>
      </c>
      <c r="D589">
        <f>YEAR(SalesData[[#This Row],[Date]])</f>
        <v>2024</v>
      </c>
      <c r="E589" t="s">
        <v>363</v>
      </c>
      <c r="F589" t="s">
        <v>369</v>
      </c>
      <c r="G589" t="s">
        <v>382</v>
      </c>
      <c r="H589" t="s">
        <v>486</v>
      </c>
      <c r="I589">
        <v>3634</v>
      </c>
      <c r="J589">
        <v>1.24</v>
      </c>
      <c r="K589">
        <v>4506.16</v>
      </c>
      <c r="L589">
        <v>1.05</v>
      </c>
      <c r="M589">
        <v>3815.7</v>
      </c>
      <c r="N589">
        <v>690.46</v>
      </c>
    </row>
    <row r="590" spans="1:14" x14ac:dyDescent="0.25">
      <c r="A590">
        <v>589</v>
      </c>
      <c r="B590" t="s">
        <v>13</v>
      </c>
      <c r="C590" t="str">
        <f t="shared" si="9"/>
        <v>Dec</v>
      </c>
      <c r="D590">
        <f>YEAR(SalesData[[#This Row],[Date]])</f>
        <v>2024</v>
      </c>
      <c r="E590" t="s">
        <v>365</v>
      </c>
      <c r="F590" t="s">
        <v>368</v>
      </c>
      <c r="G590" t="s">
        <v>438</v>
      </c>
      <c r="H590" t="s">
        <v>475</v>
      </c>
      <c r="I590">
        <v>4731</v>
      </c>
      <c r="J590">
        <v>1.17</v>
      </c>
      <c r="K590">
        <v>5535.27</v>
      </c>
      <c r="L590">
        <v>0.91</v>
      </c>
      <c r="M590">
        <v>4305.21</v>
      </c>
      <c r="N590">
        <v>1230.06</v>
      </c>
    </row>
    <row r="591" spans="1:14" x14ac:dyDescent="0.25">
      <c r="A591">
        <v>590</v>
      </c>
      <c r="B591" t="s">
        <v>26</v>
      </c>
      <c r="C591" t="str">
        <f t="shared" si="9"/>
        <v>May</v>
      </c>
      <c r="D591">
        <f>YEAR(SalesData[[#This Row],[Date]])</f>
        <v>2024</v>
      </c>
      <c r="E591" t="s">
        <v>365</v>
      </c>
      <c r="F591" t="s">
        <v>368</v>
      </c>
      <c r="G591" t="s">
        <v>437</v>
      </c>
      <c r="H591" t="s">
        <v>484</v>
      </c>
      <c r="I591">
        <v>3301</v>
      </c>
      <c r="J591">
        <v>0.85</v>
      </c>
      <c r="K591">
        <v>2805.85</v>
      </c>
      <c r="L591">
        <v>0.71</v>
      </c>
      <c r="M591">
        <v>2343.71</v>
      </c>
      <c r="N591">
        <v>462.14</v>
      </c>
    </row>
    <row r="592" spans="1:14" x14ac:dyDescent="0.25">
      <c r="A592">
        <v>591</v>
      </c>
      <c r="B592" t="s">
        <v>317</v>
      </c>
      <c r="C592" t="str">
        <f t="shared" si="9"/>
        <v>Aug</v>
      </c>
      <c r="D592">
        <f>YEAR(SalesData[[#This Row],[Date]])</f>
        <v>2024</v>
      </c>
      <c r="E592" t="s">
        <v>365</v>
      </c>
      <c r="F592" t="s">
        <v>370</v>
      </c>
      <c r="G592" t="s">
        <v>381</v>
      </c>
      <c r="H592" t="s">
        <v>479</v>
      </c>
      <c r="I592">
        <v>2704</v>
      </c>
      <c r="J592">
        <v>0.93</v>
      </c>
      <c r="K592">
        <v>2514.7199999999998</v>
      </c>
      <c r="L592">
        <v>0.73</v>
      </c>
      <c r="M592">
        <v>1973.92</v>
      </c>
      <c r="N592">
        <v>540.79999999999995</v>
      </c>
    </row>
    <row r="593" spans="1:14" x14ac:dyDescent="0.25">
      <c r="A593">
        <v>592</v>
      </c>
      <c r="B593" t="s">
        <v>318</v>
      </c>
      <c r="C593" t="str">
        <f t="shared" si="9"/>
        <v>Apr</v>
      </c>
      <c r="D593">
        <f>YEAR(SalesData[[#This Row],[Date]])</f>
        <v>2024</v>
      </c>
      <c r="E593" t="s">
        <v>366</v>
      </c>
      <c r="F593" t="s">
        <v>369</v>
      </c>
      <c r="G593" t="s">
        <v>388</v>
      </c>
      <c r="H593" t="s">
        <v>477</v>
      </c>
      <c r="I593">
        <v>2674</v>
      </c>
      <c r="J593">
        <v>0.94</v>
      </c>
      <c r="K593">
        <v>2513.56</v>
      </c>
      <c r="L593">
        <v>0.61</v>
      </c>
      <c r="M593">
        <v>1631.14</v>
      </c>
      <c r="N593">
        <v>882.42</v>
      </c>
    </row>
    <row r="594" spans="1:14" x14ac:dyDescent="0.25">
      <c r="A594">
        <v>593</v>
      </c>
      <c r="B594" t="s">
        <v>319</v>
      </c>
      <c r="C594" t="str">
        <f t="shared" si="9"/>
        <v>May</v>
      </c>
      <c r="D594">
        <f>YEAR(SalesData[[#This Row],[Date]])</f>
        <v>2024</v>
      </c>
      <c r="E594" t="s">
        <v>366</v>
      </c>
      <c r="F594" t="s">
        <v>370</v>
      </c>
      <c r="G594" t="s">
        <v>427</v>
      </c>
      <c r="H594" t="s">
        <v>488</v>
      </c>
      <c r="I594">
        <v>1482</v>
      </c>
      <c r="J594">
        <v>1.44</v>
      </c>
      <c r="K594">
        <v>2134.08</v>
      </c>
      <c r="L594">
        <v>1.1100000000000001</v>
      </c>
      <c r="M594">
        <v>1645.02</v>
      </c>
      <c r="N594">
        <v>489.06</v>
      </c>
    </row>
    <row r="595" spans="1:14" x14ac:dyDescent="0.25">
      <c r="A595">
        <v>594</v>
      </c>
      <c r="B595" t="s">
        <v>307</v>
      </c>
      <c r="C595" t="str">
        <f t="shared" si="9"/>
        <v>Dec</v>
      </c>
      <c r="D595">
        <f>YEAR(SalesData[[#This Row],[Date]])</f>
        <v>2024</v>
      </c>
      <c r="E595" t="s">
        <v>363</v>
      </c>
      <c r="F595" t="s">
        <v>369</v>
      </c>
      <c r="G595" t="s">
        <v>424</v>
      </c>
      <c r="H595" t="s">
        <v>476</v>
      </c>
      <c r="I595">
        <v>846</v>
      </c>
      <c r="J595">
        <v>1.39</v>
      </c>
      <c r="K595">
        <v>1175.94</v>
      </c>
      <c r="L595">
        <v>0.96</v>
      </c>
      <c r="M595">
        <v>812.16</v>
      </c>
      <c r="N595">
        <v>363.78</v>
      </c>
    </row>
    <row r="596" spans="1:14" x14ac:dyDescent="0.25">
      <c r="A596">
        <v>595</v>
      </c>
      <c r="B596" t="s">
        <v>44</v>
      </c>
      <c r="C596" t="str">
        <f t="shared" si="9"/>
        <v>Jun</v>
      </c>
      <c r="D596">
        <f>YEAR(SalesData[[#This Row],[Date]])</f>
        <v>2024</v>
      </c>
      <c r="E596" t="s">
        <v>365</v>
      </c>
      <c r="F596" t="s">
        <v>369</v>
      </c>
      <c r="G596" t="s">
        <v>387</v>
      </c>
      <c r="H596" t="s">
        <v>480</v>
      </c>
      <c r="I596">
        <v>4687</v>
      </c>
      <c r="J596">
        <v>1</v>
      </c>
      <c r="K596">
        <v>4687</v>
      </c>
      <c r="L596">
        <v>0.66</v>
      </c>
      <c r="M596">
        <v>3093.42</v>
      </c>
      <c r="N596">
        <v>1593.58</v>
      </c>
    </row>
    <row r="597" spans="1:14" x14ac:dyDescent="0.25">
      <c r="A597">
        <v>596</v>
      </c>
      <c r="B597" t="s">
        <v>278</v>
      </c>
      <c r="C597" t="str">
        <f t="shared" si="9"/>
        <v>Oct</v>
      </c>
      <c r="D597">
        <f>YEAR(SalesData[[#This Row],[Date]])</f>
        <v>2024</v>
      </c>
      <c r="E597" t="s">
        <v>363</v>
      </c>
      <c r="F597" t="s">
        <v>368</v>
      </c>
      <c r="G597" t="s">
        <v>442</v>
      </c>
      <c r="H597" t="s">
        <v>481</v>
      </c>
      <c r="I597">
        <v>4418</v>
      </c>
      <c r="J597">
        <v>1.46</v>
      </c>
      <c r="K597">
        <v>6450.28</v>
      </c>
      <c r="L597">
        <v>0.89</v>
      </c>
      <c r="M597">
        <v>3932.02</v>
      </c>
      <c r="N597">
        <v>2518.2600000000002</v>
      </c>
    </row>
    <row r="598" spans="1:14" x14ac:dyDescent="0.25">
      <c r="A598">
        <v>597</v>
      </c>
      <c r="B598" t="s">
        <v>320</v>
      </c>
      <c r="C598" t="str">
        <f t="shared" si="9"/>
        <v>Jun</v>
      </c>
      <c r="D598">
        <f>YEAR(SalesData[[#This Row],[Date]])</f>
        <v>2024</v>
      </c>
      <c r="E598" t="s">
        <v>366</v>
      </c>
      <c r="F598" t="s">
        <v>369</v>
      </c>
      <c r="G598" t="s">
        <v>378</v>
      </c>
      <c r="H598" t="s">
        <v>488</v>
      </c>
      <c r="I598">
        <v>4745</v>
      </c>
      <c r="J598">
        <v>1.1200000000000001</v>
      </c>
      <c r="K598">
        <v>5314.4</v>
      </c>
      <c r="L598">
        <v>0.86</v>
      </c>
      <c r="M598">
        <v>4080.7</v>
      </c>
      <c r="N598">
        <v>1233.7</v>
      </c>
    </row>
    <row r="599" spans="1:14" x14ac:dyDescent="0.25">
      <c r="A599">
        <v>598</v>
      </c>
      <c r="B599" t="s">
        <v>267</v>
      </c>
      <c r="C599" t="str">
        <f t="shared" si="9"/>
        <v>Jan</v>
      </c>
      <c r="D599">
        <f>YEAR(SalesData[[#This Row],[Date]])</f>
        <v>2024</v>
      </c>
      <c r="E599" t="s">
        <v>364</v>
      </c>
      <c r="F599" t="s">
        <v>368</v>
      </c>
      <c r="G599" t="s">
        <v>461</v>
      </c>
      <c r="H599" t="s">
        <v>488</v>
      </c>
      <c r="I599">
        <v>3165</v>
      </c>
      <c r="J599">
        <v>1.05</v>
      </c>
      <c r="K599">
        <v>3323.25</v>
      </c>
      <c r="L599">
        <v>0.86</v>
      </c>
      <c r="M599">
        <v>2721.9</v>
      </c>
      <c r="N599">
        <v>601.35</v>
      </c>
    </row>
    <row r="600" spans="1:14" x14ac:dyDescent="0.25">
      <c r="A600">
        <v>599</v>
      </c>
      <c r="B600" t="s">
        <v>181</v>
      </c>
      <c r="C600" t="str">
        <f t="shared" si="9"/>
        <v>Apr</v>
      </c>
      <c r="D600">
        <f>YEAR(SalesData[[#This Row],[Date]])</f>
        <v>2024</v>
      </c>
      <c r="E600" t="s">
        <v>366</v>
      </c>
      <c r="F600" t="s">
        <v>370</v>
      </c>
      <c r="G600" t="s">
        <v>412</v>
      </c>
      <c r="H600" t="s">
        <v>483</v>
      </c>
      <c r="I600">
        <v>3310</v>
      </c>
      <c r="J600">
        <v>1.06</v>
      </c>
      <c r="K600">
        <v>3508.6</v>
      </c>
      <c r="L600">
        <v>0.77</v>
      </c>
      <c r="M600">
        <v>2548.6999999999998</v>
      </c>
      <c r="N600">
        <v>959.9</v>
      </c>
    </row>
    <row r="601" spans="1:14" x14ac:dyDescent="0.25">
      <c r="A601">
        <v>600</v>
      </c>
      <c r="B601" t="s">
        <v>321</v>
      </c>
      <c r="C601" t="str">
        <f t="shared" si="9"/>
        <v>Apr</v>
      </c>
      <c r="D601">
        <f>YEAR(SalesData[[#This Row],[Date]])</f>
        <v>2024</v>
      </c>
      <c r="E601" t="s">
        <v>365</v>
      </c>
      <c r="F601" t="s">
        <v>369</v>
      </c>
      <c r="G601" t="s">
        <v>383</v>
      </c>
      <c r="H601" t="s">
        <v>484</v>
      </c>
      <c r="I601">
        <v>2790</v>
      </c>
      <c r="J601">
        <v>1.1200000000000001</v>
      </c>
      <c r="K601">
        <v>3124.8</v>
      </c>
      <c r="L601">
        <v>0.83</v>
      </c>
      <c r="M601">
        <v>2315.6999999999998</v>
      </c>
      <c r="N601">
        <v>809.1</v>
      </c>
    </row>
    <row r="602" spans="1:14" x14ac:dyDescent="0.25">
      <c r="A602">
        <v>601</v>
      </c>
      <c r="B602" t="s">
        <v>106</v>
      </c>
      <c r="C602" t="str">
        <f t="shared" si="9"/>
        <v>Oct</v>
      </c>
      <c r="D602">
        <f>YEAR(SalesData[[#This Row],[Date]])</f>
        <v>2024</v>
      </c>
      <c r="E602" t="s">
        <v>363</v>
      </c>
      <c r="F602" t="s">
        <v>368</v>
      </c>
      <c r="G602" t="s">
        <v>451</v>
      </c>
      <c r="H602" t="s">
        <v>471</v>
      </c>
      <c r="I602">
        <v>2431</v>
      </c>
      <c r="J602">
        <v>1.19</v>
      </c>
      <c r="K602">
        <v>2892.89</v>
      </c>
      <c r="L602">
        <v>0.97</v>
      </c>
      <c r="M602">
        <v>2358.0700000000002</v>
      </c>
      <c r="N602">
        <v>534.82000000000005</v>
      </c>
    </row>
    <row r="603" spans="1:14" x14ac:dyDescent="0.25">
      <c r="A603">
        <v>602</v>
      </c>
      <c r="B603" t="s">
        <v>322</v>
      </c>
      <c r="C603" t="str">
        <f t="shared" si="9"/>
        <v>Apr</v>
      </c>
      <c r="D603">
        <f>YEAR(SalesData[[#This Row],[Date]])</f>
        <v>2024</v>
      </c>
      <c r="E603" t="s">
        <v>366</v>
      </c>
      <c r="F603" t="s">
        <v>368</v>
      </c>
      <c r="G603" t="s">
        <v>393</v>
      </c>
      <c r="H603" t="s">
        <v>472</v>
      </c>
      <c r="I603">
        <v>1946</v>
      </c>
      <c r="J603">
        <v>1.1000000000000001</v>
      </c>
      <c r="K603">
        <v>2140.6</v>
      </c>
      <c r="L603">
        <v>0.7</v>
      </c>
      <c r="M603">
        <v>1362.2</v>
      </c>
      <c r="N603">
        <v>778.4</v>
      </c>
    </row>
    <row r="604" spans="1:14" x14ac:dyDescent="0.25">
      <c r="A604">
        <v>603</v>
      </c>
      <c r="B604" t="s">
        <v>323</v>
      </c>
      <c r="C604" t="str">
        <f t="shared" si="9"/>
        <v>Nov</v>
      </c>
      <c r="D604">
        <f>YEAR(SalesData[[#This Row],[Date]])</f>
        <v>2024</v>
      </c>
      <c r="E604" t="s">
        <v>364</v>
      </c>
      <c r="F604" t="s">
        <v>370</v>
      </c>
      <c r="G604" t="s">
        <v>443</v>
      </c>
      <c r="H604" t="s">
        <v>471</v>
      </c>
      <c r="I604">
        <v>890</v>
      </c>
      <c r="J604">
        <v>1.08</v>
      </c>
      <c r="K604">
        <v>961.2</v>
      </c>
      <c r="L604">
        <v>0.83</v>
      </c>
      <c r="M604">
        <v>738.7</v>
      </c>
      <c r="N604">
        <v>222.5</v>
      </c>
    </row>
    <row r="605" spans="1:14" x14ac:dyDescent="0.25">
      <c r="A605">
        <v>604</v>
      </c>
      <c r="B605" t="s">
        <v>39</v>
      </c>
      <c r="C605" t="str">
        <f t="shared" si="9"/>
        <v>Jan</v>
      </c>
      <c r="D605">
        <f>YEAR(SalesData[[#This Row],[Date]])</f>
        <v>2024</v>
      </c>
      <c r="E605" t="s">
        <v>365</v>
      </c>
      <c r="F605" t="s">
        <v>368</v>
      </c>
      <c r="G605" t="s">
        <v>393</v>
      </c>
      <c r="H605" t="s">
        <v>488</v>
      </c>
      <c r="I605">
        <v>4185</v>
      </c>
      <c r="J605">
        <v>1.32</v>
      </c>
      <c r="K605">
        <v>5524.2</v>
      </c>
      <c r="L605">
        <v>0.88</v>
      </c>
      <c r="M605">
        <v>3682.8</v>
      </c>
      <c r="N605">
        <v>1841.4</v>
      </c>
    </row>
    <row r="606" spans="1:14" x14ac:dyDescent="0.25">
      <c r="A606">
        <v>605</v>
      </c>
      <c r="B606" t="s">
        <v>284</v>
      </c>
      <c r="C606" t="str">
        <f t="shared" si="9"/>
        <v>Jul</v>
      </c>
      <c r="D606">
        <f>YEAR(SalesData[[#This Row],[Date]])</f>
        <v>2024</v>
      </c>
      <c r="E606" t="s">
        <v>365</v>
      </c>
      <c r="F606" t="s">
        <v>370</v>
      </c>
      <c r="G606" t="s">
        <v>467</v>
      </c>
      <c r="H606" t="s">
        <v>481</v>
      </c>
      <c r="I606">
        <v>1493</v>
      </c>
      <c r="J606">
        <v>1.05</v>
      </c>
      <c r="K606">
        <v>1567.65</v>
      </c>
      <c r="L606">
        <v>0.81</v>
      </c>
      <c r="M606">
        <v>1209.33</v>
      </c>
      <c r="N606">
        <v>358.32</v>
      </c>
    </row>
    <row r="607" spans="1:14" x14ac:dyDescent="0.25">
      <c r="A607">
        <v>606</v>
      </c>
      <c r="B607" t="s">
        <v>324</v>
      </c>
      <c r="C607" t="str">
        <f t="shared" si="9"/>
        <v>Nov</v>
      </c>
      <c r="D607">
        <f>YEAR(SalesData[[#This Row],[Date]])</f>
        <v>2024</v>
      </c>
      <c r="E607" t="s">
        <v>366</v>
      </c>
      <c r="F607" t="s">
        <v>368</v>
      </c>
      <c r="G607" t="s">
        <v>427</v>
      </c>
      <c r="H607" t="s">
        <v>482</v>
      </c>
      <c r="I607">
        <v>3409</v>
      </c>
      <c r="J607">
        <v>1.03</v>
      </c>
      <c r="K607">
        <v>3511.27</v>
      </c>
      <c r="L607">
        <v>0.75</v>
      </c>
      <c r="M607">
        <v>2556.75</v>
      </c>
      <c r="N607">
        <v>954.52</v>
      </c>
    </row>
    <row r="608" spans="1:14" x14ac:dyDescent="0.25">
      <c r="A608">
        <v>607</v>
      </c>
      <c r="B608" t="s">
        <v>176</v>
      </c>
      <c r="C608" t="str">
        <f t="shared" si="9"/>
        <v>Aug</v>
      </c>
      <c r="D608">
        <f>YEAR(SalesData[[#This Row],[Date]])</f>
        <v>2024</v>
      </c>
      <c r="E608" t="s">
        <v>364</v>
      </c>
      <c r="F608" t="s">
        <v>367</v>
      </c>
      <c r="G608" t="s">
        <v>422</v>
      </c>
      <c r="H608" t="s">
        <v>482</v>
      </c>
      <c r="I608">
        <v>4299</v>
      </c>
      <c r="J608">
        <v>1.24</v>
      </c>
      <c r="K608">
        <v>5330.76</v>
      </c>
      <c r="L608">
        <v>0.79</v>
      </c>
      <c r="M608">
        <v>3396.21</v>
      </c>
      <c r="N608">
        <v>1934.55</v>
      </c>
    </row>
    <row r="609" spans="1:14" x14ac:dyDescent="0.25">
      <c r="A609">
        <v>608</v>
      </c>
      <c r="B609" t="s">
        <v>249</v>
      </c>
      <c r="C609" t="str">
        <f t="shared" si="9"/>
        <v>Mar</v>
      </c>
      <c r="D609">
        <f>YEAR(SalesData[[#This Row],[Date]])</f>
        <v>2024</v>
      </c>
      <c r="E609" t="s">
        <v>364</v>
      </c>
      <c r="F609" t="s">
        <v>370</v>
      </c>
      <c r="G609" t="s">
        <v>384</v>
      </c>
      <c r="H609" t="s">
        <v>489</v>
      </c>
      <c r="I609">
        <v>3815</v>
      </c>
      <c r="J609">
        <v>1.39</v>
      </c>
      <c r="K609">
        <v>5302.85</v>
      </c>
      <c r="L609">
        <v>0.86</v>
      </c>
      <c r="M609">
        <v>3280.9</v>
      </c>
      <c r="N609">
        <v>2021.95</v>
      </c>
    </row>
    <row r="610" spans="1:14" x14ac:dyDescent="0.25">
      <c r="A610">
        <v>609</v>
      </c>
      <c r="B610" t="s">
        <v>27</v>
      </c>
      <c r="C610" t="str">
        <f t="shared" si="9"/>
        <v>Mar</v>
      </c>
      <c r="D610">
        <f>YEAR(SalesData[[#This Row],[Date]])</f>
        <v>2024</v>
      </c>
      <c r="E610" t="s">
        <v>366</v>
      </c>
      <c r="F610" t="s">
        <v>370</v>
      </c>
      <c r="G610" t="s">
        <v>404</v>
      </c>
      <c r="H610" t="s">
        <v>487</v>
      </c>
      <c r="I610">
        <v>2886</v>
      </c>
      <c r="J610">
        <v>1.3</v>
      </c>
      <c r="K610">
        <v>3751.8</v>
      </c>
      <c r="L610">
        <v>0.98</v>
      </c>
      <c r="M610">
        <v>2828.28</v>
      </c>
      <c r="N610">
        <v>923.52</v>
      </c>
    </row>
    <row r="611" spans="1:14" x14ac:dyDescent="0.25">
      <c r="A611">
        <v>610</v>
      </c>
      <c r="B611" t="s">
        <v>325</v>
      </c>
      <c r="C611" t="str">
        <f t="shared" si="9"/>
        <v>Jul</v>
      </c>
      <c r="D611">
        <f>YEAR(SalesData[[#This Row],[Date]])</f>
        <v>2024</v>
      </c>
      <c r="E611" t="s">
        <v>364</v>
      </c>
      <c r="F611" t="s">
        <v>370</v>
      </c>
      <c r="G611" t="s">
        <v>427</v>
      </c>
      <c r="H611" t="s">
        <v>475</v>
      </c>
      <c r="I611">
        <v>4767</v>
      </c>
      <c r="J611">
        <v>1.48</v>
      </c>
      <c r="K611">
        <v>7055.16</v>
      </c>
      <c r="L611">
        <v>1.04</v>
      </c>
      <c r="M611">
        <v>4957.68</v>
      </c>
      <c r="N611">
        <v>2097.48</v>
      </c>
    </row>
    <row r="612" spans="1:14" x14ac:dyDescent="0.25">
      <c r="A612">
        <v>611</v>
      </c>
      <c r="B612" t="s">
        <v>221</v>
      </c>
      <c r="C612" t="str">
        <f t="shared" si="9"/>
        <v>Apr</v>
      </c>
      <c r="D612">
        <f>YEAR(SalesData[[#This Row],[Date]])</f>
        <v>2024</v>
      </c>
      <c r="E612" t="s">
        <v>366</v>
      </c>
      <c r="F612" t="s">
        <v>367</v>
      </c>
      <c r="G612" t="s">
        <v>469</v>
      </c>
      <c r="H612" t="s">
        <v>477</v>
      </c>
      <c r="I612">
        <v>2561</v>
      </c>
      <c r="J612">
        <v>1.46</v>
      </c>
      <c r="K612">
        <v>3739.06</v>
      </c>
      <c r="L612">
        <v>1.1299999999999999</v>
      </c>
      <c r="M612">
        <v>2893.93</v>
      </c>
      <c r="N612">
        <v>845.13</v>
      </c>
    </row>
    <row r="613" spans="1:14" x14ac:dyDescent="0.25">
      <c r="A613">
        <v>612</v>
      </c>
      <c r="B613" t="s">
        <v>175</v>
      </c>
      <c r="C613" t="str">
        <f t="shared" si="9"/>
        <v>Feb</v>
      </c>
      <c r="D613">
        <f>YEAR(SalesData[[#This Row],[Date]])</f>
        <v>2024</v>
      </c>
      <c r="E613" t="s">
        <v>366</v>
      </c>
      <c r="F613" t="s">
        <v>368</v>
      </c>
      <c r="G613" t="s">
        <v>455</v>
      </c>
      <c r="H613" t="s">
        <v>488</v>
      </c>
      <c r="I613">
        <v>1282</v>
      </c>
      <c r="J613">
        <v>0.84</v>
      </c>
      <c r="K613">
        <v>1076.8800000000001</v>
      </c>
      <c r="L613">
        <v>0.69</v>
      </c>
      <c r="M613">
        <v>884.58</v>
      </c>
      <c r="N613">
        <v>192.3</v>
      </c>
    </row>
    <row r="614" spans="1:14" x14ac:dyDescent="0.25">
      <c r="A614">
        <v>613</v>
      </c>
      <c r="B614" t="s">
        <v>64</v>
      </c>
      <c r="C614" t="str">
        <f t="shared" si="9"/>
        <v>Oct</v>
      </c>
      <c r="D614">
        <f>YEAR(SalesData[[#This Row],[Date]])</f>
        <v>2024</v>
      </c>
      <c r="E614" t="s">
        <v>363</v>
      </c>
      <c r="F614" t="s">
        <v>367</v>
      </c>
      <c r="G614" t="s">
        <v>380</v>
      </c>
      <c r="H614" t="s">
        <v>484</v>
      </c>
      <c r="I614">
        <v>4792</v>
      </c>
      <c r="J614">
        <v>1.34</v>
      </c>
      <c r="K614">
        <v>6421.28</v>
      </c>
      <c r="L614">
        <v>0.83</v>
      </c>
      <c r="M614">
        <v>3977.36</v>
      </c>
      <c r="N614">
        <v>2443.92</v>
      </c>
    </row>
    <row r="615" spans="1:14" x14ac:dyDescent="0.25">
      <c r="A615">
        <v>614</v>
      </c>
      <c r="B615" t="s">
        <v>26</v>
      </c>
      <c r="C615" t="str">
        <f t="shared" si="9"/>
        <v>May</v>
      </c>
      <c r="D615">
        <f>YEAR(SalesData[[#This Row],[Date]])</f>
        <v>2024</v>
      </c>
      <c r="E615" t="s">
        <v>363</v>
      </c>
      <c r="F615" t="s">
        <v>368</v>
      </c>
      <c r="G615" t="s">
        <v>420</v>
      </c>
      <c r="H615" t="s">
        <v>484</v>
      </c>
      <c r="I615">
        <v>3034</v>
      </c>
      <c r="J615">
        <v>0.96</v>
      </c>
      <c r="K615">
        <v>2912.64</v>
      </c>
      <c r="L615">
        <v>0.75</v>
      </c>
      <c r="M615">
        <v>2275.5</v>
      </c>
      <c r="N615">
        <v>637.14</v>
      </c>
    </row>
    <row r="616" spans="1:14" x14ac:dyDescent="0.25">
      <c r="A616">
        <v>615</v>
      </c>
      <c r="B616" t="s">
        <v>326</v>
      </c>
      <c r="C616" t="str">
        <f t="shared" si="9"/>
        <v>Aug</v>
      </c>
      <c r="D616">
        <f>YEAR(SalesData[[#This Row],[Date]])</f>
        <v>2024</v>
      </c>
      <c r="E616" t="s">
        <v>366</v>
      </c>
      <c r="F616" t="s">
        <v>368</v>
      </c>
      <c r="G616" t="s">
        <v>442</v>
      </c>
      <c r="H616" t="s">
        <v>480</v>
      </c>
      <c r="I616">
        <v>734</v>
      </c>
      <c r="J616">
        <v>0.82</v>
      </c>
      <c r="K616">
        <v>601.88</v>
      </c>
      <c r="L616">
        <v>0.56999999999999995</v>
      </c>
      <c r="M616">
        <v>418.38</v>
      </c>
      <c r="N616">
        <v>183.5</v>
      </c>
    </row>
    <row r="617" spans="1:14" x14ac:dyDescent="0.25">
      <c r="A617">
        <v>616</v>
      </c>
      <c r="B617" t="s">
        <v>88</v>
      </c>
      <c r="C617" t="str">
        <f t="shared" si="9"/>
        <v>Jun</v>
      </c>
      <c r="D617">
        <f>YEAR(SalesData[[#This Row],[Date]])</f>
        <v>2024</v>
      </c>
      <c r="E617" t="s">
        <v>364</v>
      </c>
      <c r="F617" t="s">
        <v>369</v>
      </c>
      <c r="G617" t="s">
        <v>470</v>
      </c>
      <c r="H617" t="s">
        <v>471</v>
      </c>
      <c r="I617">
        <v>4993</v>
      </c>
      <c r="J617">
        <v>1.1100000000000001</v>
      </c>
      <c r="K617">
        <v>5542.23</v>
      </c>
      <c r="L617">
        <v>0.94</v>
      </c>
      <c r="M617">
        <v>4693.42</v>
      </c>
      <c r="N617">
        <v>848.81</v>
      </c>
    </row>
    <row r="618" spans="1:14" x14ac:dyDescent="0.25">
      <c r="A618">
        <v>617</v>
      </c>
      <c r="B618" t="s">
        <v>110</v>
      </c>
      <c r="C618" t="str">
        <f t="shared" si="9"/>
        <v>Dec</v>
      </c>
      <c r="D618">
        <f>YEAR(SalesData[[#This Row],[Date]])</f>
        <v>2024</v>
      </c>
      <c r="E618" t="s">
        <v>364</v>
      </c>
      <c r="F618" t="s">
        <v>368</v>
      </c>
      <c r="G618" t="s">
        <v>384</v>
      </c>
      <c r="H618" t="s">
        <v>479</v>
      </c>
      <c r="I618">
        <v>4063</v>
      </c>
      <c r="J618">
        <v>1.17</v>
      </c>
      <c r="K618">
        <v>4753.71</v>
      </c>
      <c r="L618">
        <v>0.89</v>
      </c>
      <c r="M618">
        <v>3616.07</v>
      </c>
      <c r="N618">
        <v>1137.6400000000001</v>
      </c>
    </row>
    <row r="619" spans="1:14" x14ac:dyDescent="0.25">
      <c r="A619">
        <v>618</v>
      </c>
      <c r="B619" t="s">
        <v>144</v>
      </c>
      <c r="C619" t="str">
        <f t="shared" si="9"/>
        <v>Jun</v>
      </c>
      <c r="D619">
        <f>YEAR(SalesData[[#This Row],[Date]])</f>
        <v>2024</v>
      </c>
      <c r="E619" t="s">
        <v>364</v>
      </c>
      <c r="F619" t="s">
        <v>370</v>
      </c>
      <c r="G619" t="s">
        <v>470</v>
      </c>
      <c r="H619" t="s">
        <v>477</v>
      </c>
      <c r="I619">
        <v>1233</v>
      </c>
      <c r="J619">
        <v>1.1100000000000001</v>
      </c>
      <c r="K619">
        <v>1368.63</v>
      </c>
      <c r="L619">
        <v>0.77</v>
      </c>
      <c r="M619">
        <v>949.41</v>
      </c>
      <c r="N619">
        <v>419.22</v>
      </c>
    </row>
    <row r="620" spans="1:14" x14ac:dyDescent="0.25">
      <c r="A620">
        <v>619</v>
      </c>
      <c r="B620" t="s">
        <v>59</v>
      </c>
      <c r="C620" t="str">
        <f t="shared" si="9"/>
        <v>May</v>
      </c>
      <c r="D620">
        <f>YEAR(SalesData[[#This Row],[Date]])</f>
        <v>2024</v>
      </c>
      <c r="E620" t="s">
        <v>365</v>
      </c>
      <c r="F620" t="s">
        <v>368</v>
      </c>
      <c r="G620" t="s">
        <v>447</v>
      </c>
      <c r="H620" t="s">
        <v>472</v>
      </c>
      <c r="I620">
        <v>4787</v>
      </c>
      <c r="J620">
        <v>1.37</v>
      </c>
      <c r="K620">
        <v>6558.19</v>
      </c>
      <c r="L620">
        <v>1.1100000000000001</v>
      </c>
      <c r="M620">
        <v>5313.57</v>
      </c>
      <c r="N620">
        <v>1244.6199999999999</v>
      </c>
    </row>
    <row r="621" spans="1:14" x14ac:dyDescent="0.25">
      <c r="A621">
        <v>620</v>
      </c>
      <c r="B621" t="s">
        <v>192</v>
      </c>
      <c r="C621" t="str">
        <f t="shared" si="9"/>
        <v>Jun</v>
      </c>
      <c r="D621">
        <f>YEAR(SalesData[[#This Row],[Date]])</f>
        <v>2024</v>
      </c>
      <c r="E621" t="s">
        <v>364</v>
      </c>
      <c r="F621" t="s">
        <v>370</v>
      </c>
      <c r="G621" t="s">
        <v>379</v>
      </c>
      <c r="H621" t="s">
        <v>472</v>
      </c>
      <c r="I621">
        <v>4529</v>
      </c>
      <c r="J621">
        <v>1.46</v>
      </c>
      <c r="K621">
        <v>6612.34</v>
      </c>
      <c r="L621">
        <v>1.05</v>
      </c>
      <c r="M621">
        <v>4755.45</v>
      </c>
      <c r="N621">
        <v>1856.89</v>
      </c>
    </row>
    <row r="622" spans="1:14" x14ac:dyDescent="0.25">
      <c r="A622">
        <v>621</v>
      </c>
      <c r="B622" t="s">
        <v>264</v>
      </c>
      <c r="C622" t="str">
        <f t="shared" si="9"/>
        <v>Jan</v>
      </c>
      <c r="D622">
        <f>YEAR(SalesData[[#This Row],[Date]])</f>
        <v>2024</v>
      </c>
      <c r="E622" t="s">
        <v>365</v>
      </c>
      <c r="F622" t="s">
        <v>369</v>
      </c>
      <c r="G622" t="s">
        <v>448</v>
      </c>
      <c r="H622" t="s">
        <v>477</v>
      </c>
      <c r="I622">
        <v>559</v>
      </c>
      <c r="J622">
        <v>1.18</v>
      </c>
      <c r="K622">
        <v>659.62</v>
      </c>
      <c r="L622">
        <v>0.76</v>
      </c>
      <c r="M622">
        <v>424.84</v>
      </c>
      <c r="N622">
        <v>234.78</v>
      </c>
    </row>
    <row r="623" spans="1:14" x14ac:dyDescent="0.25">
      <c r="A623">
        <v>622</v>
      </c>
      <c r="B623" t="s">
        <v>216</v>
      </c>
      <c r="C623" t="str">
        <f t="shared" si="9"/>
        <v>Oct</v>
      </c>
      <c r="D623">
        <f>YEAR(SalesData[[#This Row],[Date]])</f>
        <v>2024</v>
      </c>
      <c r="E623" t="s">
        <v>364</v>
      </c>
      <c r="F623" t="s">
        <v>369</v>
      </c>
      <c r="G623" t="s">
        <v>391</v>
      </c>
      <c r="H623" t="s">
        <v>480</v>
      </c>
      <c r="I623">
        <v>3692</v>
      </c>
      <c r="J623">
        <v>1.38</v>
      </c>
      <c r="K623">
        <v>5094.96</v>
      </c>
      <c r="L623">
        <v>0.9</v>
      </c>
      <c r="M623">
        <v>3322.8</v>
      </c>
      <c r="N623">
        <v>1772.16</v>
      </c>
    </row>
    <row r="624" spans="1:14" x14ac:dyDescent="0.25">
      <c r="A624">
        <v>623</v>
      </c>
      <c r="B624" t="s">
        <v>175</v>
      </c>
      <c r="C624" t="str">
        <f t="shared" si="9"/>
        <v>Feb</v>
      </c>
      <c r="D624">
        <f>YEAR(SalesData[[#This Row],[Date]])</f>
        <v>2024</v>
      </c>
      <c r="E624" t="s">
        <v>366</v>
      </c>
      <c r="F624" t="s">
        <v>369</v>
      </c>
      <c r="G624" t="s">
        <v>430</v>
      </c>
      <c r="H624" t="s">
        <v>489</v>
      </c>
      <c r="I624">
        <v>2727</v>
      </c>
      <c r="J624">
        <v>1</v>
      </c>
      <c r="K624">
        <v>2727</v>
      </c>
      <c r="L624">
        <v>0.79</v>
      </c>
      <c r="M624">
        <v>2154.33</v>
      </c>
      <c r="N624">
        <v>572.66999999999996</v>
      </c>
    </row>
    <row r="625" spans="1:14" x14ac:dyDescent="0.25">
      <c r="A625">
        <v>624</v>
      </c>
      <c r="B625" t="s">
        <v>217</v>
      </c>
      <c r="C625" t="str">
        <f t="shared" si="9"/>
        <v>May</v>
      </c>
      <c r="D625">
        <f>YEAR(SalesData[[#This Row],[Date]])</f>
        <v>2024</v>
      </c>
      <c r="E625" t="s">
        <v>366</v>
      </c>
      <c r="F625" t="s">
        <v>369</v>
      </c>
      <c r="G625" t="s">
        <v>458</v>
      </c>
      <c r="H625" t="s">
        <v>480</v>
      </c>
      <c r="I625">
        <v>1619</v>
      </c>
      <c r="J625">
        <v>1</v>
      </c>
      <c r="K625">
        <v>1619</v>
      </c>
      <c r="L625">
        <v>0.76</v>
      </c>
      <c r="M625">
        <v>1230.44</v>
      </c>
      <c r="N625">
        <v>388.56</v>
      </c>
    </row>
    <row r="626" spans="1:14" x14ac:dyDescent="0.25">
      <c r="A626">
        <v>625</v>
      </c>
      <c r="B626" t="s">
        <v>145</v>
      </c>
      <c r="C626" t="str">
        <f t="shared" si="9"/>
        <v>Nov</v>
      </c>
      <c r="D626">
        <f>YEAR(SalesData[[#This Row],[Date]])</f>
        <v>2024</v>
      </c>
      <c r="E626" t="s">
        <v>365</v>
      </c>
      <c r="F626" t="s">
        <v>369</v>
      </c>
      <c r="G626" t="s">
        <v>429</v>
      </c>
      <c r="H626" t="s">
        <v>489</v>
      </c>
      <c r="I626">
        <v>4530</v>
      </c>
      <c r="J626">
        <v>0.93</v>
      </c>
      <c r="K626">
        <v>4212.8999999999996</v>
      </c>
      <c r="L626">
        <v>0.56000000000000005</v>
      </c>
      <c r="M626">
        <v>2536.8000000000002</v>
      </c>
      <c r="N626">
        <v>1676.1</v>
      </c>
    </row>
    <row r="627" spans="1:14" x14ac:dyDescent="0.25">
      <c r="A627">
        <v>626</v>
      </c>
      <c r="B627" t="s">
        <v>327</v>
      </c>
      <c r="C627" t="str">
        <f t="shared" si="9"/>
        <v>Jan</v>
      </c>
      <c r="D627">
        <f>YEAR(SalesData[[#This Row],[Date]])</f>
        <v>2024</v>
      </c>
      <c r="E627" t="s">
        <v>366</v>
      </c>
      <c r="F627" t="s">
        <v>367</v>
      </c>
      <c r="G627" t="s">
        <v>450</v>
      </c>
      <c r="H627" t="s">
        <v>482</v>
      </c>
      <c r="I627">
        <v>2705</v>
      </c>
      <c r="J627">
        <v>0.89</v>
      </c>
      <c r="K627">
        <v>2407.4499999999998</v>
      </c>
      <c r="L627">
        <v>0.63</v>
      </c>
      <c r="M627">
        <v>1704.15</v>
      </c>
      <c r="N627">
        <v>703.3</v>
      </c>
    </row>
    <row r="628" spans="1:14" x14ac:dyDescent="0.25">
      <c r="A628">
        <v>627</v>
      </c>
      <c r="B628" t="s">
        <v>264</v>
      </c>
      <c r="C628" t="str">
        <f t="shared" si="9"/>
        <v>Jan</v>
      </c>
      <c r="D628">
        <f>YEAR(SalesData[[#This Row],[Date]])</f>
        <v>2024</v>
      </c>
      <c r="E628" t="s">
        <v>363</v>
      </c>
      <c r="F628" t="s">
        <v>368</v>
      </c>
      <c r="G628" t="s">
        <v>399</v>
      </c>
      <c r="H628" t="s">
        <v>472</v>
      </c>
      <c r="I628">
        <v>4543</v>
      </c>
      <c r="J628">
        <v>0.95</v>
      </c>
      <c r="K628">
        <v>4315.8500000000004</v>
      </c>
      <c r="L628">
        <v>0.67</v>
      </c>
      <c r="M628">
        <v>3043.81</v>
      </c>
      <c r="N628">
        <v>1272.04</v>
      </c>
    </row>
    <row r="629" spans="1:14" x14ac:dyDescent="0.25">
      <c r="A629">
        <v>628</v>
      </c>
      <c r="B629" t="s">
        <v>109</v>
      </c>
      <c r="C629" t="str">
        <f t="shared" si="9"/>
        <v>Sep</v>
      </c>
      <c r="D629">
        <f>YEAR(SalesData[[#This Row],[Date]])</f>
        <v>2024</v>
      </c>
      <c r="E629" t="s">
        <v>364</v>
      </c>
      <c r="F629" t="s">
        <v>370</v>
      </c>
      <c r="G629" t="s">
        <v>429</v>
      </c>
      <c r="H629" t="s">
        <v>478</v>
      </c>
      <c r="I629">
        <v>3205</v>
      </c>
      <c r="J629">
        <v>0.86</v>
      </c>
      <c r="K629">
        <v>2756.3</v>
      </c>
      <c r="L629">
        <v>0.68</v>
      </c>
      <c r="M629">
        <v>2179.4</v>
      </c>
      <c r="N629">
        <v>576.9</v>
      </c>
    </row>
    <row r="630" spans="1:14" x14ac:dyDescent="0.25">
      <c r="A630">
        <v>629</v>
      </c>
      <c r="B630" t="s">
        <v>219</v>
      </c>
      <c r="C630" t="str">
        <f t="shared" si="9"/>
        <v>Mar</v>
      </c>
      <c r="D630">
        <f>YEAR(SalesData[[#This Row],[Date]])</f>
        <v>2024</v>
      </c>
      <c r="E630" t="s">
        <v>365</v>
      </c>
      <c r="F630" t="s">
        <v>367</v>
      </c>
      <c r="G630" t="s">
        <v>427</v>
      </c>
      <c r="H630" t="s">
        <v>484</v>
      </c>
      <c r="I630">
        <v>1084</v>
      </c>
      <c r="J630">
        <v>1.18</v>
      </c>
      <c r="K630">
        <v>1279.1199999999999</v>
      </c>
      <c r="L630">
        <v>0.76</v>
      </c>
      <c r="M630">
        <v>823.84</v>
      </c>
      <c r="N630">
        <v>455.28</v>
      </c>
    </row>
    <row r="631" spans="1:14" x14ac:dyDescent="0.25">
      <c r="A631">
        <v>630</v>
      </c>
      <c r="B631" t="s">
        <v>234</v>
      </c>
      <c r="C631" t="str">
        <f t="shared" si="9"/>
        <v>May</v>
      </c>
      <c r="D631">
        <f>YEAR(SalesData[[#This Row],[Date]])</f>
        <v>2024</v>
      </c>
      <c r="E631" t="s">
        <v>363</v>
      </c>
      <c r="F631" t="s">
        <v>369</v>
      </c>
      <c r="G631" t="s">
        <v>459</v>
      </c>
      <c r="H631" t="s">
        <v>477</v>
      </c>
      <c r="I631">
        <v>3652</v>
      </c>
      <c r="J631">
        <v>1.34</v>
      </c>
      <c r="K631">
        <v>4893.68</v>
      </c>
      <c r="L631">
        <v>0.95</v>
      </c>
      <c r="M631">
        <v>3469.4</v>
      </c>
      <c r="N631">
        <v>1424.28</v>
      </c>
    </row>
    <row r="632" spans="1:14" x14ac:dyDescent="0.25">
      <c r="A632">
        <v>631</v>
      </c>
      <c r="B632" t="s">
        <v>213</v>
      </c>
      <c r="C632" t="str">
        <f t="shared" si="9"/>
        <v>Jan</v>
      </c>
      <c r="D632">
        <f>YEAR(SalesData[[#This Row],[Date]])</f>
        <v>2024</v>
      </c>
      <c r="E632" t="s">
        <v>364</v>
      </c>
      <c r="F632" t="s">
        <v>368</v>
      </c>
      <c r="G632" t="s">
        <v>371</v>
      </c>
      <c r="H632" t="s">
        <v>488</v>
      </c>
      <c r="I632">
        <v>4769</v>
      </c>
      <c r="J632">
        <v>1.27</v>
      </c>
      <c r="K632">
        <v>6056.63</v>
      </c>
      <c r="L632">
        <v>0.83</v>
      </c>
      <c r="M632">
        <v>3958.27</v>
      </c>
      <c r="N632">
        <v>2098.36</v>
      </c>
    </row>
    <row r="633" spans="1:14" x14ac:dyDescent="0.25">
      <c r="A633">
        <v>632</v>
      </c>
      <c r="B633" t="s">
        <v>232</v>
      </c>
      <c r="C633" t="str">
        <f t="shared" si="9"/>
        <v>Jul</v>
      </c>
      <c r="D633">
        <f>YEAR(SalesData[[#This Row],[Date]])</f>
        <v>2024</v>
      </c>
      <c r="E633" t="s">
        <v>365</v>
      </c>
      <c r="F633" t="s">
        <v>370</v>
      </c>
      <c r="G633" t="s">
        <v>406</v>
      </c>
      <c r="H633" t="s">
        <v>478</v>
      </c>
      <c r="I633">
        <v>4767</v>
      </c>
      <c r="J633">
        <v>0.89</v>
      </c>
      <c r="K633">
        <v>4242.63</v>
      </c>
      <c r="L633">
        <v>0.64</v>
      </c>
      <c r="M633">
        <v>3050.88</v>
      </c>
      <c r="N633">
        <v>1191.75</v>
      </c>
    </row>
    <row r="634" spans="1:14" x14ac:dyDescent="0.25">
      <c r="A634">
        <v>633</v>
      </c>
      <c r="B634" t="s">
        <v>76</v>
      </c>
      <c r="C634" t="str">
        <f t="shared" si="9"/>
        <v>Jun</v>
      </c>
      <c r="D634">
        <f>YEAR(SalesData[[#This Row],[Date]])</f>
        <v>2024</v>
      </c>
      <c r="E634" t="s">
        <v>365</v>
      </c>
      <c r="F634" t="s">
        <v>368</v>
      </c>
      <c r="G634" t="s">
        <v>456</v>
      </c>
      <c r="H634" t="s">
        <v>485</v>
      </c>
      <c r="I634">
        <v>1425</v>
      </c>
      <c r="J634">
        <v>0.97</v>
      </c>
      <c r="K634">
        <v>1382.25</v>
      </c>
      <c r="L634">
        <v>0.69</v>
      </c>
      <c r="M634">
        <v>983.25</v>
      </c>
      <c r="N634">
        <v>399</v>
      </c>
    </row>
    <row r="635" spans="1:14" x14ac:dyDescent="0.25">
      <c r="A635">
        <v>634</v>
      </c>
      <c r="B635" t="s">
        <v>38</v>
      </c>
      <c r="C635" t="str">
        <f t="shared" si="9"/>
        <v>Jan</v>
      </c>
      <c r="D635">
        <f>YEAR(SalesData[[#This Row],[Date]])</f>
        <v>2024</v>
      </c>
      <c r="E635" t="s">
        <v>365</v>
      </c>
      <c r="F635" t="s">
        <v>368</v>
      </c>
      <c r="G635" t="s">
        <v>461</v>
      </c>
      <c r="H635" t="s">
        <v>488</v>
      </c>
      <c r="I635">
        <v>3742</v>
      </c>
      <c r="J635">
        <v>1.35</v>
      </c>
      <c r="K635">
        <v>5051.7</v>
      </c>
      <c r="L635">
        <v>0.81</v>
      </c>
      <c r="M635">
        <v>3031.02</v>
      </c>
      <c r="N635">
        <v>2020.68</v>
      </c>
    </row>
    <row r="636" spans="1:14" x14ac:dyDescent="0.25">
      <c r="A636">
        <v>635</v>
      </c>
      <c r="B636" t="s">
        <v>85</v>
      </c>
      <c r="C636" t="str">
        <f t="shared" si="9"/>
        <v>Jan</v>
      </c>
      <c r="D636">
        <f>YEAR(SalesData[[#This Row],[Date]])</f>
        <v>2024</v>
      </c>
      <c r="E636" t="s">
        <v>366</v>
      </c>
      <c r="F636" t="s">
        <v>369</v>
      </c>
      <c r="G636" t="s">
        <v>466</v>
      </c>
      <c r="H636" t="s">
        <v>486</v>
      </c>
      <c r="I636">
        <v>2537</v>
      </c>
      <c r="J636">
        <v>0.91</v>
      </c>
      <c r="K636">
        <v>2308.67</v>
      </c>
      <c r="L636">
        <v>0.56999999999999995</v>
      </c>
      <c r="M636">
        <v>1446.09</v>
      </c>
      <c r="N636">
        <v>862.58</v>
      </c>
    </row>
    <row r="637" spans="1:14" x14ac:dyDescent="0.25">
      <c r="A637">
        <v>636</v>
      </c>
      <c r="B637" t="s">
        <v>145</v>
      </c>
      <c r="C637" t="str">
        <f t="shared" si="9"/>
        <v>Nov</v>
      </c>
      <c r="D637">
        <f>YEAR(SalesData[[#This Row],[Date]])</f>
        <v>2024</v>
      </c>
      <c r="E637" t="s">
        <v>363</v>
      </c>
      <c r="F637" t="s">
        <v>370</v>
      </c>
      <c r="G637" t="s">
        <v>400</v>
      </c>
      <c r="H637" t="s">
        <v>475</v>
      </c>
      <c r="I637">
        <v>1760</v>
      </c>
      <c r="J637">
        <v>1.29</v>
      </c>
      <c r="K637">
        <v>2270.4</v>
      </c>
      <c r="L637">
        <v>1.03</v>
      </c>
      <c r="M637">
        <v>1812.8</v>
      </c>
      <c r="N637">
        <v>457.6</v>
      </c>
    </row>
    <row r="638" spans="1:14" x14ac:dyDescent="0.25">
      <c r="A638">
        <v>637</v>
      </c>
      <c r="B638" t="s">
        <v>135</v>
      </c>
      <c r="C638" t="str">
        <f t="shared" si="9"/>
        <v>Mar</v>
      </c>
      <c r="D638">
        <f>YEAR(SalesData[[#This Row],[Date]])</f>
        <v>2024</v>
      </c>
      <c r="E638" t="s">
        <v>366</v>
      </c>
      <c r="F638" t="s">
        <v>369</v>
      </c>
      <c r="G638" t="s">
        <v>404</v>
      </c>
      <c r="H638" t="s">
        <v>476</v>
      </c>
      <c r="I638">
        <v>3345</v>
      </c>
      <c r="J638">
        <v>1.36</v>
      </c>
      <c r="K638">
        <v>4549.2</v>
      </c>
      <c r="L638">
        <v>0.97</v>
      </c>
      <c r="M638">
        <v>3244.65</v>
      </c>
      <c r="N638">
        <v>1304.55</v>
      </c>
    </row>
    <row r="639" spans="1:14" x14ac:dyDescent="0.25">
      <c r="A639">
        <v>638</v>
      </c>
      <c r="B639" t="s">
        <v>93</v>
      </c>
      <c r="C639" t="str">
        <f t="shared" si="9"/>
        <v>Apr</v>
      </c>
      <c r="D639">
        <f>YEAR(SalesData[[#This Row],[Date]])</f>
        <v>2024</v>
      </c>
      <c r="E639" t="s">
        <v>364</v>
      </c>
      <c r="F639" t="s">
        <v>367</v>
      </c>
      <c r="G639" t="s">
        <v>375</v>
      </c>
      <c r="H639" t="s">
        <v>474</v>
      </c>
      <c r="I639">
        <v>2553</v>
      </c>
      <c r="J639">
        <v>1.43</v>
      </c>
      <c r="K639">
        <v>3650.79</v>
      </c>
      <c r="L639">
        <v>1.03</v>
      </c>
      <c r="M639">
        <v>2629.59</v>
      </c>
      <c r="N639">
        <v>1021.2</v>
      </c>
    </row>
    <row r="640" spans="1:14" x14ac:dyDescent="0.25">
      <c r="A640">
        <v>639</v>
      </c>
      <c r="B640" t="s">
        <v>31</v>
      </c>
      <c r="C640" t="str">
        <f t="shared" si="9"/>
        <v>Aug</v>
      </c>
      <c r="D640">
        <f>YEAR(SalesData[[#This Row],[Date]])</f>
        <v>2024</v>
      </c>
      <c r="E640" t="s">
        <v>364</v>
      </c>
      <c r="F640" t="s">
        <v>370</v>
      </c>
      <c r="G640" t="s">
        <v>395</v>
      </c>
      <c r="H640" t="s">
        <v>479</v>
      </c>
      <c r="I640">
        <v>2028</v>
      </c>
      <c r="J640">
        <v>1.18</v>
      </c>
      <c r="K640">
        <v>2393.04</v>
      </c>
      <c r="L640">
        <v>0.8</v>
      </c>
      <c r="M640">
        <v>1622.4</v>
      </c>
      <c r="N640">
        <v>770.64</v>
      </c>
    </row>
    <row r="641" spans="1:14" x14ac:dyDescent="0.25">
      <c r="A641">
        <v>640</v>
      </c>
      <c r="B641" t="s">
        <v>328</v>
      </c>
      <c r="C641" t="str">
        <f t="shared" si="9"/>
        <v>Aug</v>
      </c>
      <c r="D641">
        <f>YEAR(SalesData[[#This Row],[Date]])</f>
        <v>2024</v>
      </c>
      <c r="E641" t="s">
        <v>366</v>
      </c>
      <c r="F641" t="s">
        <v>370</v>
      </c>
      <c r="G641" t="s">
        <v>458</v>
      </c>
      <c r="H641" t="s">
        <v>490</v>
      </c>
      <c r="I641">
        <v>1769</v>
      </c>
      <c r="J641">
        <v>1.1100000000000001</v>
      </c>
      <c r="K641">
        <v>1963.59</v>
      </c>
      <c r="L641">
        <v>0.89</v>
      </c>
      <c r="M641">
        <v>1574.41</v>
      </c>
      <c r="N641">
        <v>389.18</v>
      </c>
    </row>
    <row r="642" spans="1:14" x14ac:dyDescent="0.25">
      <c r="A642">
        <v>641</v>
      </c>
      <c r="B642" t="s">
        <v>41</v>
      </c>
      <c r="C642" t="str">
        <f t="shared" ref="C642:C705" si="10">TEXT(B642,"mmm")</f>
        <v>Oct</v>
      </c>
      <c r="D642">
        <f>YEAR(SalesData[[#This Row],[Date]])</f>
        <v>2024</v>
      </c>
      <c r="E642" t="s">
        <v>364</v>
      </c>
      <c r="F642" t="s">
        <v>370</v>
      </c>
      <c r="G642" t="s">
        <v>398</v>
      </c>
      <c r="H642" t="s">
        <v>490</v>
      </c>
      <c r="I642">
        <v>3605</v>
      </c>
      <c r="J642">
        <v>1.31</v>
      </c>
      <c r="K642">
        <v>4722.55</v>
      </c>
      <c r="L642">
        <v>1.08</v>
      </c>
      <c r="M642">
        <v>3893.4</v>
      </c>
      <c r="N642">
        <v>829.15</v>
      </c>
    </row>
    <row r="643" spans="1:14" x14ac:dyDescent="0.25">
      <c r="A643">
        <v>642</v>
      </c>
      <c r="B643" t="s">
        <v>130</v>
      </c>
      <c r="C643" t="str">
        <f t="shared" si="10"/>
        <v>Nov</v>
      </c>
      <c r="D643">
        <f>YEAR(SalesData[[#This Row],[Date]])</f>
        <v>2024</v>
      </c>
      <c r="E643" t="s">
        <v>366</v>
      </c>
      <c r="F643" t="s">
        <v>370</v>
      </c>
      <c r="G643" t="s">
        <v>441</v>
      </c>
      <c r="H643" t="s">
        <v>486</v>
      </c>
      <c r="I643">
        <v>4915</v>
      </c>
      <c r="J643">
        <v>1.37</v>
      </c>
      <c r="K643">
        <v>6733.55</v>
      </c>
      <c r="L643">
        <v>0.89</v>
      </c>
      <c r="M643">
        <v>4374.3500000000004</v>
      </c>
      <c r="N643">
        <v>2359.1999999999998</v>
      </c>
    </row>
    <row r="644" spans="1:14" x14ac:dyDescent="0.25">
      <c r="A644">
        <v>643</v>
      </c>
      <c r="B644" t="s">
        <v>329</v>
      </c>
      <c r="C644" t="str">
        <f t="shared" si="10"/>
        <v>Dec</v>
      </c>
      <c r="D644">
        <f>YEAR(SalesData[[#This Row],[Date]])</f>
        <v>2024</v>
      </c>
      <c r="E644" t="s">
        <v>366</v>
      </c>
      <c r="F644" t="s">
        <v>369</v>
      </c>
      <c r="G644" t="s">
        <v>422</v>
      </c>
      <c r="H644" t="s">
        <v>482</v>
      </c>
      <c r="I644">
        <v>3142</v>
      </c>
      <c r="J644">
        <v>1.0900000000000001</v>
      </c>
      <c r="K644">
        <v>3424.78</v>
      </c>
      <c r="L644">
        <v>0.74</v>
      </c>
      <c r="M644">
        <v>2325.08</v>
      </c>
      <c r="N644">
        <v>1099.7</v>
      </c>
    </row>
    <row r="645" spans="1:14" x14ac:dyDescent="0.25">
      <c r="A645">
        <v>644</v>
      </c>
      <c r="B645" t="s">
        <v>281</v>
      </c>
      <c r="C645" t="str">
        <f t="shared" si="10"/>
        <v>Feb</v>
      </c>
      <c r="D645">
        <f>YEAR(SalesData[[#This Row],[Date]])</f>
        <v>2024</v>
      </c>
      <c r="E645" t="s">
        <v>363</v>
      </c>
      <c r="F645" t="s">
        <v>367</v>
      </c>
      <c r="G645" t="s">
        <v>410</v>
      </c>
      <c r="H645" t="s">
        <v>480</v>
      </c>
      <c r="I645">
        <v>756</v>
      </c>
      <c r="J645">
        <v>0.94</v>
      </c>
      <c r="K645">
        <v>710.64</v>
      </c>
      <c r="L645">
        <v>0.68</v>
      </c>
      <c r="M645">
        <v>514.08000000000004</v>
      </c>
      <c r="N645">
        <v>196.56</v>
      </c>
    </row>
    <row r="646" spans="1:14" x14ac:dyDescent="0.25">
      <c r="A646">
        <v>645</v>
      </c>
      <c r="B646" t="s">
        <v>330</v>
      </c>
      <c r="C646" t="str">
        <f t="shared" si="10"/>
        <v>Feb</v>
      </c>
      <c r="D646">
        <f>YEAR(SalesData[[#This Row],[Date]])</f>
        <v>2024</v>
      </c>
      <c r="E646" t="s">
        <v>364</v>
      </c>
      <c r="F646" t="s">
        <v>367</v>
      </c>
      <c r="G646" t="s">
        <v>389</v>
      </c>
      <c r="H646" t="s">
        <v>483</v>
      </c>
      <c r="I646">
        <v>4807</v>
      </c>
      <c r="J646">
        <v>1.24</v>
      </c>
      <c r="K646">
        <v>5960.68</v>
      </c>
      <c r="L646">
        <v>0.93</v>
      </c>
      <c r="M646">
        <v>4470.51</v>
      </c>
      <c r="N646">
        <v>1490.17</v>
      </c>
    </row>
    <row r="647" spans="1:14" x14ac:dyDescent="0.25">
      <c r="A647">
        <v>646</v>
      </c>
      <c r="B647" t="s">
        <v>327</v>
      </c>
      <c r="C647" t="str">
        <f t="shared" si="10"/>
        <v>Jan</v>
      </c>
      <c r="D647">
        <f>YEAR(SalesData[[#This Row],[Date]])</f>
        <v>2024</v>
      </c>
      <c r="E647" t="s">
        <v>366</v>
      </c>
      <c r="F647" t="s">
        <v>370</v>
      </c>
      <c r="G647" t="s">
        <v>444</v>
      </c>
      <c r="H647" t="s">
        <v>486</v>
      </c>
      <c r="I647">
        <v>607</v>
      </c>
      <c r="J647">
        <v>1.45</v>
      </c>
      <c r="K647">
        <v>880.15</v>
      </c>
      <c r="L647">
        <v>0.95</v>
      </c>
      <c r="M647">
        <v>576.65</v>
      </c>
      <c r="N647">
        <v>303.5</v>
      </c>
    </row>
    <row r="648" spans="1:14" x14ac:dyDescent="0.25">
      <c r="A648">
        <v>647</v>
      </c>
      <c r="B648" t="s">
        <v>96</v>
      </c>
      <c r="C648" t="str">
        <f t="shared" si="10"/>
        <v>Sep</v>
      </c>
      <c r="D648">
        <f>YEAR(SalesData[[#This Row],[Date]])</f>
        <v>2024</v>
      </c>
      <c r="E648" t="s">
        <v>364</v>
      </c>
      <c r="F648" t="s">
        <v>367</v>
      </c>
      <c r="G648" t="s">
        <v>436</v>
      </c>
      <c r="H648" t="s">
        <v>478</v>
      </c>
      <c r="I648">
        <v>3456</v>
      </c>
      <c r="J648">
        <v>1.19</v>
      </c>
      <c r="K648">
        <v>4112.6400000000003</v>
      </c>
      <c r="L648">
        <v>0.99</v>
      </c>
      <c r="M648">
        <v>3421.44</v>
      </c>
      <c r="N648">
        <v>691.2</v>
      </c>
    </row>
    <row r="649" spans="1:14" x14ac:dyDescent="0.25">
      <c r="A649">
        <v>648</v>
      </c>
      <c r="B649" t="s">
        <v>141</v>
      </c>
      <c r="C649" t="str">
        <f t="shared" si="10"/>
        <v>Jul</v>
      </c>
      <c r="D649">
        <f>YEAR(SalesData[[#This Row],[Date]])</f>
        <v>2024</v>
      </c>
      <c r="E649" t="s">
        <v>363</v>
      </c>
      <c r="F649" t="s">
        <v>370</v>
      </c>
      <c r="G649" t="s">
        <v>422</v>
      </c>
      <c r="H649" t="s">
        <v>471</v>
      </c>
      <c r="I649">
        <v>4833</v>
      </c>
      <c r="J649">
        <v>0.83</v>
      </c>
      <c r="K649">
        <v>4011.39</v>
      </c>
      <c r="L649">
        <v>0.51</v>
      </c>
      <c r="M649">
        <v>2464.83</v>
      </c>
      <c r="N649">
        <v>1546.56</v>
      </c>
    </row>
    <row r="650" spans="1:14" x14ac:dyDescent="0.25">
      <c r="A650">
        <v>649</v>
      </c>
      <c r="B650" t="s">
        <v>104</v>
      </c>
      <c r="C650" t="str">
        <f t="shared" si="10"/>
        <v>Jun</v>
      </c>
      <c r="D650">
        <f>YEAR(SalesData[[#This Row],[Date]])</f>
        <v>2024</v>
      </c>
      <c r="E650" t="s">
        <v>366</v>
      </c>
      <c r="F650" t="s">
        <v>367</v>
      </c>
      <c r="G650" t="s">
        <v>430</v>
      </c>
      <c r="H650" t="s">
        <v>488</v>
      </c>
      <c r="I650">
        <v>1329</v>
      </c>
      <c r="J650">
        <v>1.31</v>
      </c>
      <c r="K650">
        <v>1740.99</v>
      </c>
      <c r="L650">
        <v>0.96</v>
      </c>
      <c r="M650">
        <v>1275.8399999999999</v>
      </c>
      <c r="N650">
        <v>465.15</v>
      </c>
    </row>
    <row r="651" spans="1:14" x14ac:dyDescent="0.25">
      <c r="A651">
        <v>650</v>
      </c>
      <c r="B651" t="s">
        <v>318</v>
      </c>
      <c r="C651" t="str">
        <f t="shared" si="10"/>
        <v>Apr</v>
      </c>
      <c r="D651">
        <f>YEAR(SalesData[[#This Row],[Date]])</f>
        <v>2024</v>
      </c>
      <c r="E651" t="s">
        <v>366</v>
      </c>
      <c r="F651" t="s">
        <v>368</v>
      </c>
      <c r="G651" t="s">
        <v>433</v>
      </c>
      <c r="H651" t="s">
        <v>480</v>
      </c>
      <c r="I651">
        <v>3901</v>
      </c>
      <c r="J651">
        <v>1.32</v>
      </c>
      <c r="K651">
        <v>5149.32</v>
      </c>
      <c r="L651">
        <v>1.04</v>
      </c>
      <c r="M651">
        <v>4057.04</v>
      </c>
      <c r="N651">
        <v>1092.28</v>
      </c>
    </row>
    <row r="652" spans="1:14" x14ac:dyDescent="0.25">
      <c r="A652">
        <v>651</v>
      </c>
      <c r="B652" t="s">
        <v>278</v>
      </c>
      <c r="C652" t="str">
        <f t="shared" si="10"/>
        <v>Oct</v>
      </c>
      <c r="D652">
        <f>YEAR(SalesData[[#This Row],[Date]])</f>
        <v>2024</v>
      </c>
      <c r="E652" t="s">
        <v>364</v>
      </c>
      <c r="F652" t="s">
        <v>370</v>
      </c>
      <c r="G652" t="s">
        <v>429</v>
      </c>
      <c r="H652" t="s">
        <v>481</v>
      </c>
      <c r="I652">
        <v>1352</v>
      </c>
      <c r="J652">
        <v>0.92</v>
      </c>
      <c r="K652">
        <v>1243.8399999999999</v>
      </c>
      <c r="L652">
        <v>0.59</v>
      </c>
      <c r="M652">
        <v>797.68</v>
      </c>
      <c r="N652">
        <v>446.16</v>
      </c>
    </row>
    <row r="653" spans="1:14" x14ac:dyDescent="0.25">
      <c r="A653">
        <v>652</v>
      </c>
      <c r="B653" t="s">
        <v>21</v>
      </c>
      <c r="C653" t="str">
        <f t="shared" si="10"/>
        <v>Jul</v>
      </c>
      <c r="D653">
        <f>YEAR(SalesData[[#This Row],[Date]])</f>
        <v>2024</v>
      </c>
      <c r="E653" t="s">
        <v>366</v>
      </c>
      <c r="F653" t="s">
        <v>370</v>
      </c>
      <c r="G653" t="s">
        <v>379</v>
      </c>
      <c r="H653" t="s">
        <v>489</v>
      </c>
      <c r="I653">
        <v>4129</v>
      </c>
      <c r="J653">
        <v>1.45</v>
      </c>
      <c r="K653">
        <v>5987.05</v>
      </c>
      <c r="L653">
        <v>1.2</v>
      </c>
      <c r="M653">
        <v>4954.8</v>
      </c>
      <c r="N653">
        <v>1032.25</v>
      </c>
    </row>
    <row r="654" spans="1:14" x14ac:dyDescent="0.25">
      <c r="A654">
        <v>653</v>
      </c>
      <c r="B654" t="s">
        <v>107</v>
      </c>
      <c r="C654" t="str">
        <f t="shared" si="10"/>
        <v>Oct</v>
      </c>
      <c r="D654">
        <f>YEAR(SalesData[[#This Row],[Date]])</f>
        <v>2024</v>
      </c>
      <c r="E654" t="s">
        <v>365</v>
      </c>
      <c r="F654" t="s">
        <v>370</v>
      </c>
      <c r="G654" t="s">
        <v>438</v>
      </c>
      <c r="H654" t="s">
        <v>481</v>
      </c>
      <c r="I654">
        <v>3149</v>
      </c>
      <c r="J654">
        <v>1.23</v>
      </c>
      <c r="K654">
        <v>3873.27</v>
      </c>
      <c r="L654">
        <v>0.91</v>
      </c>
      <c r="M654">
        <v>2865.59</v>
      </c>
      <c r="N654">
        <v>1007.68</v>
      </c>
    </row>
    <row r="655" spans="1:14" x14ac:dyDescent="0.25">
      <c r="A655">
        <v>654</v>
      </c>
      <c r="B655" t="s">
        <v>182</v>
      </c>
      <c r="C655" t="str">
        <f t="shared" si="10"/>
        <v>Apr</v>
      </c>
      <c r="D655">
        <f>YEAR(SalesData[[#This Row],[Date]])</f>
        <v>2024</v>
      </c>
      <c r="E655" t="s">
        <v>365</v>
      </c>
      <c r="F655" t="s">
        <v>369</v>
      </c>
      <c r="G655" t="s">
        <v>383</v>
      </c>
      <c r="H655" t="s">
        <v>473</v>
      </c>
      <c r="I655">
        <v>4165</v>
      </c>
      <c r="J655">
        <v>1.47</v>
      </c>
      <c r="K655">
        <v>6122.55</v>
      </c>
      <c r="L655">
        <v>0.88</v>
      </c>
      <c r="M655">
        <v>3665.2</v>
      </c>
      <c r="N655">
        <v>2457.35</v>
      </c>
    </row>
    <row r="656" spans="1:14" x14ac:dyDescent="0.25">
      <c r="A656">
        <v>655</v>
      </c>
      <c r="B656" t="s">
        <v>213</v>
      </c>
      <c r="C656" t="str">
        <f t="shared" si="10"/>
        <v>Jan</v>
      </c>
      <c r="D656">
        <f>YEAR(SalesData[[#This Row],[Date]])</f>
        <v>2024</v>
      </c>
      <c r="E656" t="s">
        <v>363</v>
      </c>
      <c r="F656" t="s">
        <v>370</v>
      </c>
      <c r="G656" t="s">
        <v>430</v>
      </c>
      <c r="H656" t="s">
        <v>474</v>
      </c>
      <c r="I656">
        <v>2972</v>
      </c>
      <c r="J656">
        <v>0.8</v>
      </c>
      <c r="K656">
        <v>2377.6</v>
      </c>
      <c r="L656">
        <v>0.68</v>
      </c>
      <c r="M656">
        <v>2020.96</v>
      </c>
      <c r="N656">
        <v>356.64</v>
      </c>
    </row>
    <row r="657" spans="1:14" x14ac:dyDescent="0.25">
      <c r="A657">
        <v>656</v>
      </c>
      <c r="B657" t="s">
        <v>182</v>
      </c>
      <c r="C657" t="str">
        <f t="shared" si="10"/>
        <v>Apr</v>
      </c>
      <c r="D657">
        <f>YEAR(SalesData[[#This Row],[Date]])</f>
        <v>2024</v>
      </c>
      <c r="E657" t="s">
        <v>363</v>
      </c>
      <c r="F657" t="s">
        <v>370</v>
      </c>
      <c r="G657" t="s">
        <v>380</v>
      </c>
      <c r="H657" t="s">
        <v>471</v>
      </c>
      <c r="I657">
        <v>4688</v>
      </c>
      <c r="J657">
        <v>1.19</v>
      </c>
      <c r="K657">
        <v>5578.72</v>
      </c>
      <c r="L657">
        <v>0.99</v>
      </c>
      <c r="M657">
        <v>4641.12</v>
      </c>
      <c r="N657">
        <v>937.6</v>
      </c>
    </row>
    <row r="658" spans="1:14" x14ac:dyDescent="0.25">
      <c r="A658">
        <v>657</v>
      </c>
      <c r="B658" t="s">
        <v>132</v>
      </c>
      <c r="C658" t="str">
        <f t="shared" si="10"/>
        <v>Mar</v>
      </c>
      <c r="D658">
        <f>YEAR(SalesData[[#This Row],[Date]])</f>
        <v>2024</v>
      </c>
      <c r="E658" t="s">
        <v>363</v>
      </c>
      <c r="F658" t="s">
        <v>367</v>
      </c>
      <c r="G658" t="s">
        <v>378</v>
      </c>
      <c r="H658" t="s">
        <v>475</v>
      </c>
      <c r="I658">
        <v>1778</v>
      </c>
      <c r="J658">
        <v>0.9</v>
      </c>
      <c r="K658">
        <v>1600.2</v>
      </c>
      <c r="L658">
        <v>0.62</v>
      </c>
      <c r="M658">
        <v>1102.3599999999999</v>
      </c>
      <c r="N658">
        <v>497.84</v>
      </c>
    </row>
    <row r="659" spans="1:14" x14ac:dyDescent="0.25">
      <c r="A659">
        <v>658</v>
      </c>
      <c r="B659" t="s">
        <v>52</v>
      </c>
      <c r="C659" t="str">
        <f t="shared" si="10"/>
        <v>Oct</v>
      </c>
      <c r="D659">
        <f>YEAR(SalesData[[#This Row],[Date]])</f>
        <v>2024</v>
      </c>
      <c r="E659" t="s">
        <v>366</v>
      </c>
      <c r="F659" t="s">
        <v>368</v>
      </c>
      <c r="G659" t="s">
        <v>408</v>
      </c>
      <c r="H659" t="s">
        <v>482</v>
      </c>
      <c r="I659">
        <v>1252</v>
      </c>
      <c r="J659">
        <v>1.2</v>
      </c>
      <c r="K659">
        <v>1502.4</v>
      </c>
      <c r="L659">
        <v>0.89</v>
      </c>
      <c r="M659">
        <v>1114.28</v>
      </c>
      <c r="N659">
        <v>388.12</v>
      </c>
    </row>
    <row r="660" spans="1:14" x14ac:dyDescent="0.25">
      <c r="A660">
        <v>659</v>
      </c>
      <c r="B660" t="s">
        <v>331</v>
      </c>
      <c r="C660" t="str">
        <f t="shared" si="10"/>
        <v>Apr</v>
      </c>
      <c r="D660">
        <f>YEAR(SalesData[[#This Row],[Date]])</f>
        <v>2024</v>
      </c>
      <c r="E660" t="s">
        <v>365</v>
      </c>
      <c r="F660" t="s">
        <v>367</v>
      </c>
      <c r="G660" t="s">
        <v>468</v>
      </c>
      <c r="H660" t="s">
        <v>480</v>
      </c>
      <c r="I660">
        <v>4499</v>
      </c>
      <c r="J660">
        <v>1.38</v>
      </c>
      <c r="K660">
        <v>6208.62</v>
      </c>
      <c r="L660">
        <v>1.07</v>
      </c>
      <c r="M660">
        <v>4813.93</v>
      </c>
      <c r="N660">
        <v>1394.69</v>
      </c>
    </row>
    <row r="661" spans="1:14" x14ac:dyDescent="0.25">
      <c r="A661">
        <v>660</v>
      </c>
      <c r="B661" t="s">
        <v>278</v>
      </c>
      <c r="C661" t="str">
        <f t="shared" si="10"/>
        <v>Oct</v>
      </c>
      <c r="D661">
        <f>YEAR(SalesData[[#This Row],[Date]])</f>
        <v>2024</v>
      </c>
      <c r="E661" t="s">
        <v>365</v>
      </c>
      <c r="F661" t="s">
        <v>367</v>
      </c>
      <c r="G661" t="s">
        <v>372</v>
      </c>
      <c r="H661" t="s">
        <v>479</v>
      </c>
      <c r="I661">
        <v>3625</v>
      </c>
      <c r="J661">
        <v>0.85</v>
      </c>
      <c r="K661">
        <v>3081.25</v>
      </c>
      <c r="L661">
        <v>0.52</v>
      </c>
      <c r="M661">
        <v>1885</v>
      </c>
      <c r="N661">
        <v>1196.25</v>
      </c>
    </row>
    <row r="662" spans="1:14" x14ac:dyDescent="0.25">
      <c r="A662">
        <v>661</v>
      </c>
      <c r="B662" t="s">
        <v>332</v>
      </c>
      <c r="C662" t="str">
        <f t="shared" si="10"/>
        <v>Jun</v>
      </c>
      <c r="D662">
        <f>YEAR(SalesData[[#This Row],[Date]])</f>
        <v>2024</v>
      </c>
      <c r="E662" t="s">
        <v>364</v>
      </c>
      <c r="F662" t="s">
        <v>370</v>
      </c>
      <c r="G662" t="s">
        <v>419</v>
      </c>
      <c r="H662" t="s">
        <v>488</v>
      </c>
      <c r="I662">
        <v>2357</v>
      </c>
      <c r="J662">
        <v>1.32</v>
      </c>
      <c r="K662">
        <v>3111.24</v>
      </c>
      <c r="L662">
        <v>1.07</v>
      </c>
      <c r="M662">
        <v>2521.9899999999998</v>
      </c>
      <c r="N662">
        <v>589.25</v>
      </c>
    </row>
    <row r="663" spans="1:14" x14ac:dyDescent="0.25">
      <c r="A663">
        <v>662</v>
      </c>
      <c r="B663" t="s">
        <v>208</v>
      </c>
      <c r="C663" t="str">
        <f t="shared" si="10"/>
        <v>Jan</v>
      </c>
      <c r="D663">
        <f>YEAR(SalesData[[#This Row],[Date]])</f>
        <v>2024</v>
      </c>
      <c r="E663" t="s">
        <v>363</v>
      </c>
      <c r="F663" t="s">
        <v>369</v>
      </c>
      <c r="G663" t="s">
        <v>428</v>
      </c>
      <c r="H663" t="s">
        <v>490</v>
      </c>
      <c r="I663">
        <v>837</v>
      </c>
      <c r="J663">
        <v>1.02</v>
      </c>
      <c r="K663">
        <v>853.74</v>
      </c>
      <c r="L663">
        <v>0.76</v>
      </c>
      <c r="M663">
        <v>636.12</v>
      </c>
      <c r="N663">
        <v>217.62</v>
      </c>
    </row>
    <row r="664" spans="1:14" x14ac:dyDescent="0.25">
      <c r="A664">
        <v>663</v>
      </c>
      <c r="B664" t="s">
        <v>196</v>
      </c>
      <c r="C664" t="str">
        <f t="shared" si="10"/>
        <v>Jun</v>
      </c>
      <c r="D664">
        <f>YEAR(SalesData[[#This Row],[Date]])</f>
        <v>2024</v>
      </c>
      <c r="E664" t="s">
        <v>366</v>
      </c>
      <c r="F664" t="s">
        <v>368</v>
      </c>
      <c r="G664" t="s">
        <v>456</v>
      </c>
      <c r="H664" t="s">
        <v>484</v>
      </c>
      <c r="I664">
        <v>4150</v>
      </c>
      <c r="J664">
        <v>1.33</v>
      </c>
      <c r="K664">
        <v>5519.5</v>
      </c>
      <c r="L664">
        <v>0.99</v>
      </c>
      <c r="M664">
        <v>4108.5</v>
      </c>
      <c r="N664">
        <v>1411</v>
      </c>
    </row>
    <row r="665" spans="1:14" x14ac:dyDescent="0.25">
      <c r="A665">
        <v>664</v>
      </c>
      <c r="B665" t="s">
        <v>280</v>
      </c>
      <c r="C665" t="str">
        <f t="shared" si="10"/>
        <v>Feb</v>
      </c>
      <c r="D665">
        <f>YEAR(SalesData[[#This Row],[Date]])</f>
        <v>2024</v>
      </c>
      <c r="E665" t="s">
        <v>364</v>
      </c>
      <c r="F665" t="s">
        <v>368</v>
      </c>
      <c r="G665" t="s">
        <v>386</v>
      </c>
      <c r="H665" t="s">
        <v>484</v>
      </c>
      <c r="I665">
        <v>1712</v>
      </c>
      <c r="J665">
        <v>0.89</v>
      </c>
      <c r="K665">
        <v>1523.68</v>
      </c>
      <c r="L665">
        <v>0.55000000000000004</v>
      </c>
      <c r="M665">
        <v>941.6</v>
      </c>
      <c r="N665">
        <v>582.08000000000004</v>
      </c>
    </row>
    <row r="666" spans="1:14" x14ac:dyDescent="0.25">
      <c r="A666">
        <v>665</v>
      </c>
      <c r="B666" t="s">
        <v>34</v>
      </c>
      <c r="C666" t="str">
        <f t="shared" si="10"/>
        <v>Oct</v>
      </c>
      <c r="D666">
        <f>YEAR(SalesData[[#This Row],[Date]])</f>
        <v>2024</v>
      </c>
      <c r="E666" t="s">
        <v>364</v>
      </c>
      <c r="F666" t="s">
        <v>367</v>
      </c>
      <c r="G666" t="s">
        <v>382</v>
      </c>
      <c r="H666" t="s">
        <v>486</v>
      </c>
      <c r="I666">
        <v>3764</v>
      </c>
      <c r="J666">
        <v>1.1499999999999999</v>
      </c>
      <c r="K666">
        <v>4328.6000000000004</v>
      </c>
      <c r="L666">
        <v>0.91</v>
      </c>
      <c r="M666">
        <v>3425.24</v>
      </c>
      <c r="N666">
        <v>903.36</v>
      </c>
    </row>
    <row r="667" spans="1:14" x14ac:dyDescent="0.25">
      <c r="A667">
        <v>666</v>
      </c>
      <c r="B667" t="s">
        <v>137</v>
      </c>
      <c r="C667" t="str">
        <f t="shared" si="10"/>
        <v>Mar</v>
      </c>
      <c r="D667">
        <f>YEAR(SalesData[[#This Row],[Date]])</f>
        <v>2024</v>
      </c>
      <c r="E667" t="s">
        <v>364</v>
      </c>
      <c r="F667" t="s">
        <v>368</v>
      </c>
      <c r="G667" t="s">
        <v>421</v>
      </c>
      <c r="H667" t="s">
        <v>485</v>
      </c>
      <c r="I667">
        <v>4496</v>
      </c>
      <c r="J667">
        <v>1.08</v>
      </c>
      <c r="K667">
        <v>4855.68</v>
      </c>
      <c r="L667">
        <v>0.8</v>
      </c>
      <c r="M667">
        <v>3596.8</v>
      </c>
      <c r="N667">
        <v>1258.8800000000001</v>
      </c>
    </row>
    <row r="668" spans="1:14" x14ac:dyDescent="0.25">
      <c r="A668">
        <v>667</v>
      </c>
      <c r="B668" t="s">
        <v>216</v>
      </c>
      <c r="C668" t="str">
        <f t="shared" si="10"/>
        <v>Oct</v>
      </c>
      <c r="D668">
        <f>YEAR(SalesData[[#This Row],[Date]])</f>
        <v>2024</v>
      </c>
      <c r="E668" t="s">
        <v>366</v>
      </c>
      <c r="F668" t="s">
        <v>368</v>
      </c>
      <c r="G668" t="s">
        <v>392</v>
      </c>
      <c r="H668" t="s">
        <v>471</v>
      </c>
      <c r="I668">
        <v>4023</v>
      </c>
      <c r="J668">
        <v>1.03</v>
      </c>
      <c r="K668">
        <v>4143.6899999999996</v>
      </c>
      <c r="L668">
        <v>0.86</v>
      </c>
      <c r="M668">
        <v>3459.78</v>
      </c>
      <c r="N668">
        <v>683.91</v>
      </c>
    </row>
    <row r="669" spans="1:14" x14ac:dyDescent="0.25">
      <c r="A669">
        <v>668</v>
      </c>
      <c r="B669" t="s">
        <v>295</v>
      </c>
      <c r="C669" t="str">
        <f t="shared" si="10"/>
        <v>Feb</v>
      </c>
      <c r="D669">
        <f>YEAR(SalesData[[#This Row],[Date]])</f>
        <v>2024</v>
      </c>
      <c r="E669" t="s">
        <v>364</v>
      </c>
      <c r="F669" t="s">
        <v>367</v>
      </c>
      <c r="G669" t="s">
        <v>449</v>
      </c>
      <c r="H669" t="s">
        <v>475</v>
      </c>
      <c r="I669">
        <v>3353</v>
      </c>
      <c r="J669">
        <v>0.93</v>
      </c>
      <c r="K669">
        <v>3118.29</v>
      </c>
      <c r="L669">
        <v>0.64</v>
      </c>
      <c r="M669">
        <v>2145.92</v>
      </c>
      <c r="N669">
        <v>972.37</v>
      </c>
    </row>
    <row r="670" spans="1:14" x14ac:dyDescent="0.25">
      <c r="A670">
        <v>669</v>
      </c>
      <c r="B670" t="s">
        <v>116</v>
      </c>
      <c r="C670" t="str">
        <f t="shared" si="10"/>
        <v>Dec</v>
      </c>
      <c r="D670">
        <f>YEAR(SalesData[[#This Row],[Date]])</f>
        <v>2024</v>
      </c>
      <c r="E670" t="s">
        <v>365</v>
      </c>
      <c r="F670" t="s">
        <v>367</v>
      </c>
      <c r="G670" t="s">
        <v>397</v>
      </c>
      <c r="H670" t="s">
        <v>475</v>
      </c>
      <c r="I670">
        <v>4122</v>
      </c>
      <c r="J670">
        <v>1.24</v>
      </c>
      <c r="K670">
        <v>5111.28</v>
      </c>
      <c r="L670">
        <v>0.88</v>
      </c>
      <c r="M670">
        <v>3627.36</v>
      </c>
      <c r="N670">
        <v>1483.92</v>
      </c>
    </row>
    <row r="671" spans="1:14" x14ac:dyDescent="0.25">
      <c r="A671">
        <v>670</v>
      </c>
      <c r="B671" t="s">
        <v>136</v>
      </c>
      <c r="C671" t="str">
        <f t="shared" si="10"/>
        <v>Apr</v>
      </c>
      <c r="D671">
        <f>YEAR(SalesData[[#This Row],[Date]])</f>
        <v>2024</v>
      </c>
      <c r="E671" t="s">
        <v>365</v>
      </c>
      <c r="F671" t="s">
        <v>368</v>
      </c>
      <c r="G671" t="s">
        <v>399</v>
      </c>
      <c r="H671" t="s">
        <v>486</v>
      </c>
      <c r="I671">
        <v>1420</v>
      </c>
      <c r="J671">
        <v>1.32</v>
      </c>
      <c r="K671">
        <v>1874.4</v>
      </c>
      <c r="L671">
        <v>0.87</v>
      </c>
      <c r="M671">
        <v>1235.4000000000001</v>
      </c>
      <c r="N671">
        <v>639</v>
      </c>
    </row>
    <row r="672" spans="1:14" x14ac:dyDescent="0.25">
      <c r="A672">
        <v>671</v>
      </c>
      <c r="B672" t="s">
        <v>130</v>
      </c>
      <c r="C672" t="str">
        <f t="shared" si="10"/>
        <v>Nov</v>
      </c>
      <c r="D672">
        <f>YEAR(SalesData[[#This Row],[Date]])</f>
        <v>2024</v>
      </c>
      <c r="E672" t="s">
        <v>365</v>
      </c>
      <c r="F672" t="s">
        <v>368</v>
      </c>
      <c r="G672" t="s">
        <v>447</v>
      </c>
      <c r="H672" t="s">
        <v>487</v>
      </c>
      <c r="I672">
        <v>1411</v>
      </c>
      <c r="J672">
        <v>1.01</v>
      </c>
      <c r="K672">
        <v>1425.11</v>
      </c>
      <c r="L672">
        <v>0.72</v>
      </c>
      <c r="M672">
        <v>1015.92</v>
      </c>
      <c r="N672">
        <v>409.19</v>
      </c>
    </row>
    <row r="673" spans="1:14" x14ac:dyDescent="0.25">
      <c r="A673">
        <v>672</v>
      </c>
      <c r="B673" t="s">
        <v>33</v>
      </c>
      <c r="C673" t="str">
        <f t="shared" si="10"/>
        <v>Jun</v>
      </c>
      <c r="D673">
        <f>YEAR(SalesData[[#This Row],[Date]])</f>
        <v>2024</v>
      </c>
      <c r="E673" t="s">
        <v>366</v>
      </c>
      <c r="F673" t="s">
        <v>368</v>
      </c>
      <c r="G673" t="s">
        <v>439</v>
      </c>
      <c r="H673" t="s">
        <v>476</v>
      </c>
      <c r="I673">
        <v>4786</v>
      </c>
      <c r="J673">
        <v>1.33</v>
      </c>
      <c r="K673">
        <v>6365.38</v>
      </c>
      <c r="L673">
        <v>0.98</v>
      </c>
      <c r="M673">
        <v>4690.28</v>
      </c>
      <c r="N673">
        <v>1675.1</v>
      </c>
    </row>
    <row r="674" spans="1:14" x14ac:dyDescent="0.25">
      <c r="A674">
        <v>673</v>
      </c>
      <c r="B674" t="s">
        <v>78</v>
      </c>
      <c r="C674" t="str">
        <f t="shared" si="10"/>
        <v>Nov</v>
      </c>
      <c r="D674">
        <f>YEAR(SalesData[[#This Row],[Date]])</f>
        <v>2024</v>
      </c>
      <c r="E674" t="s">
        <v>363</v>
      </c>
      <c r="F674" t="s">
        <v>368</v>
      </c>
      <c r="G674" t="s">
        <v>464</v>
      </c>
      <c r="H674" t="s">
        <v>479</v>
      </c>
      <c r="I674">
        <v>4815</v>
      </c>
      <c r="J674">
        <v>0.83</v>
      </c>
      <c r="K674">
        <v>3996.45</v>
      </c>
      <c r="L674">
        <v>0.53</v>
      </c>
      <c r="M674">
        <v>2551.9499999999998</v>
      </c>
      <c r="N674">
        <v>1444.5</v>
      </c>
    </row>
    <row r="675" spans="1:14" x14ac:dyDescent="0.25">
      <c r="A675">
        <v>674</v>
      </c>
      <c r="B675" t="s">
        <v>333</v>
      </c>
      <c r="C675" t="str">
        <f t="shared" si="10"/>
        <v>May</v>
      </c>
      <c r="D675">
        <f>YEAR(SalesData[[#This Row],[Date]])</f>
        <v>2024</v>
      </c>
      <c r="E675" t="s">
        <v>365</v>
      </c>
      <c r="F675" t="s">
        <v>368</v>
      </c>
      <c r="G675" t="s">
        <v>456</v>
      </c>
      <c r="H675" t="s">
        <v>473</v>
      </c>
      <c r="I675">
        <v>568</v>
      </c>
      <c r="J675">
        <v>0.85</v>
      </c>
      <c r="K675">
        <v>482.8</v>
      </c>
      <c r="L675">
        <v>0.65</v>
      </c>
      <c r="M675">
        <v>369.2</v>
      </c>
      <c r="N675">
        <v>113.6</v>
      </c>
    </row>
    <row r="676" spans="1:14" x14ac:dyDescent="0.25">
      <c r="A676">
        <v>675</v>
      </c>
      <c r="B676" t="s">
        <v>307</v>
      </c>
      <c r="C676" t="str">
        <f t="shared" si="10"/>
        <v>Dec</v>
      </c>
      <c r="D676">
        <f>YEAR(SalesData[[#This Row],[Date]])</f>
        <v>2024</v>
      </c>
      <c r="E676" t="s">
        <v>363</v>
      </c>
      <c r="F676" t="s">
        <v>370</v>
      </c>
      <c r="G676" t="s">
        <v>467</v>
      </c>
      <c r="H676" t="s">
        <v>482</v>
      </c>
      <c r="I676">
        <v>3666</v>
      </c>
      <c r="J676">
        <v>0.96</v>
      </c>
      <c r="K676">
        <v>3519.36</v>
      </c>
      <c r="L676">
        <v>0.67</v>
      </c>
      <c r="M676">
        <v>2456.2199999999998</v>
      </c>
      <c r="N676">
        <v>1063.1400000000001</v>
      </c>
    </row>
    <row r="677" spans="1:14" x14ac:dyDescent="0.25">
      <c r="A677">
        <v>676</v>
      </c>
      <c r="B677" t="s">
        <v>187</v>
      </c>
      <c r="C677" t="str">
        <f t="shared" si="10"/>
        <v>Dec</v>
      </c>
      <c r="D677">
        <f>YEAR(SalesData[[#This Row],[Date]])</f>
        <v>2024</v>
      </c>
      <c r="E677" t="s">
        <v>365</v>
      </c>
      <c r="F677" t="s">
        <v>367</v>
      </c>
      <c r="G677" t="s">
        <v>387</v>
      </c>
      <c r="H677" t="s">
        <v>489</v>
      </c>
      <c r="I677">
        <v>4854</v>
      </c>
      <c r="J677">
        <v>0.86</v>
      </c>
      <c r="K677">
        <v>4174.4399999999996</v>
      </c>
      <c r="L677">
        <v>0.56000000000000005</v>
      </c>
      <c r="M677">
        <v>2718.24</v>
      </c>
      <c r="N677">
        <v>1456.2</v>
      </c>
    </row>
    <row r="678" spans="1:14" x14ac:dyDescent="0.25">
      <c r="A678">
        <v>677</v>
      </c>
      <c r="B678" t="s">
        <v>172</v>
      </c>
      <c r="C678" t="str">
        <f t="shared" si="10"/>
        <v>Aug</v>
      </c>
      <c r="D678">
        <f>YEAR(SalesData[[#This Row],[Date]])</f>
        <v>2024</v>
      </c>
      <c r="E678" t="s">
        <v>363</v>
      </c>
      <c r="F678" t="s">
        <v>367</v>
      </c>
      <c r="G678" t="s">
        <v>391</v>
      </c>
      <c r="H678" t="s">
        <v>490</v>
      </c>
      <c r="I678">
        <v>2997</v>
      </c>
      <c r="J678">
        <v>1.03</v>
      </c>
      <c r="K678">
        <v>3086.91</v>
      </c>
      <c r="L678">
        <v>0.72</v>
      </c>
      <c r="M678">
        <v>2157.84</v>
      </c>
      <c r="N678">
        <v>929.07</v>
      </c>
    </row>
    <row r="679" spans="1:14" x14ac:dyDescent="0.25">
      <c r="A679">
        <v>678</v>
      </c>
      <c r="B679" t="s">
        <v>42</v>
      </c>
      <c r="C679" t="str">
        <f t="shared" si="10"/>
        <v>Mar</v>
      </c>
      <c r="D679">
        <f>YEAR(SalesData[[#This Row],[Date]])</f>
        <v>2024</v>
      </c>
      <c r="E679" t="s">
        <v>365</v>
      </c>
      <c r="F679" t="s">
        <v>367</v>
      </c>
      <c r="G679" t="s">
        <v>411</v>
      </c>
      <c r="H679" t="s">
        <v>475</v>
      </c>
      <c r="I679">
        <v>3411</v>
      </c>
      <c r="J679">
        <v>1.24</v>
      </c>
      <c r="K679">
        <v>4229.6400000000003</v>
      </c>
      <c r="L679">
        <v>0.82</v>
      </c>
      <c r="M679">
        <v>2797.02</v>
      </c>
      <c r="N679">
        <v>1432.62</v>
      </c>
    </row>
    <row r="680" spans="1:14" x14ac:dyDescent="0.25">
      <c r="A680">
        <v>679</v>
      </c>
      <c r="B680" t="s">
        <v>240</v>
      </c>
      <c r="C680" t="str">
        <f t="shared" si="10"/>
        <v>Sep</v>
      </c>
      <c r="D680">
        <f>YEAR(SalesData[[#This Row],[Date]])</f>
        <v>2024</v>
      </c>
      <c r="E680" t="s">
        <v>363</v>
      </c>
      <c r="F680" t="s">
        <v>370</v>
      </c>
      <c r="G680" t="s">
        <v>384</v>
      </c>
      <c r="H680" t="s">
        <v>471</v>
      </c>
      <c r="I680">
        <v>3671</v>
      </c>
      <c r="J680">
        <v>1.42</v>
      </c>
      <c r="K680">
        <v>5212.82</v>
      </c>
      <c r="L680">
        <v>1.1399999999999999</v>
      </c>
      <c r="M680">
        <v>4184.9399999999996</v>
      </c>
      <c r="N680">
        <v>1027.8800000000001</v>
      </c>
    </row>
    <row r="681" spans="1:14" x14ac:dyDescent="0.25">
      <c r="A681">
        <v>680</v>
      </c>
      <c r="B681" t="s">
        <v>261</v>
      </c>
      <c r="C681" t="str">
        <f t="shared" si="10"/>
        <v>Jan</v>
      </c>
      <c r="D681">
        <f>YEAR(SalesData[[#This Row],[Date]])</f>
        <v>2024</v>
      </c>
      <c r="E681" t="s">
        <v>366</v>
      </c>
      <c r="F681" t="s">
        <v>370</v>
      </c>
      <c r="G681" t="s">
        <v>399</v>
      </c>
      <c r="H681" t="s">
        <v>487</v>
      </c>
      <c r="I681">
        <v>3718</v>
      </c>
      <c r="J681">
        <v>1.26</v>
      </c>
      <c r="K681">
        <v>4684.68</v>
      </c>
      <c r="L681">
        <v>0.78</v>
      </c>
      <c r="M681">
        <v>2900.04</v>
      </c>
      <c r="N681">
        <v>1784.64</v>
      </c>
    </row>
    <row r="682" spans="1:14" x14ac:dyDescent="0.25">
      <c r="A682">
        <v>681</v>
      </c>
      <c r="B682" t="s">
        <v>123</v>
      </c>
      <c r="C682" t="str">
        <f t="shared" si="10"/>
        <v>Jul</v>
      </c>
      <c r="D682">
        <f>YEAR(SalesData[[#This Row],[Date]])</f>
        <v>2024</v>
      </c>
      <c r="E682" t="s">
        <v>364</v>
      </c>
      <c r="F682" t="s">
        <v>368</v>
      </c>
      <c r="G682" t="s">
        <v>388</v>
      </c>
      <c r="H682" t="s">
        <v>479</v>
      </c>
      <c r="I682">
        <v>1751</v>
      </c>
      <c r="J682">
        <v>1.1000000000000001</v>
      </c>
      <c r="K682">
        <v>1926.1</v>
      </c>
      <c r="L682">
        <v>0.75</v>
      </c>
      <c r="M682">
        <v>1313.25</v>
      </c>
      <c r="N682">
        <v>612.85</v>
      </c>
    </row>
    <row r="683" spans="1:14" x14ac:dyDescent="0.25">
      <c r="A683">
        <v>682</v>
      </c>
      <c r="B683" t="s">
        <v>334</v>
      </c>
      <c r="C683" t="str">
        <f t="shared" si="10"/>
        <v>Nov</v>
      </c>
      <c r="D683">
        <f>YEAR(SalesData[[#This Row],[Date]])</f>
        <v>2024</v>
      </c>
      <c r="E683" t="s">
        <v>364</v>
      </c>
      <c r="F683" t="s">
        <v>370</v>
      </c>
      <c r="G683" t="s">
        <v>470</v>
      </c>
      <c r="H683" t="s">
        <v>474</v>
      </c>
      <c r="I683">
        <v>2193</v>
      </c>
      <c r="J683">
        <v>1.26</v>
      </c>
      <c r="K683">
        <v>2763.18</v>
      </c>
      <c r="L683">
        <v>0.94</v>
      </c>
      <c r="M683">
        <v>2061.42</v>
      </c>
      <c r="N683">
        <v>701.76</v>
      </c>
    </row>
    <row r="684" spans="1:14" x14ac:dyDescent="0.25">
      <c r="A684">
        <v>683</v>
      </c>
      <c r="B684" t="s">
        <v>171</v>
      </c>
      <c r="C684" t="str">
        <f t="shared" si="10"/>
        <v>Dec</v>
      </c>
      <c r="D684">
        <f>YEAR(SalesData[[#This Row],[Date]])</f>
        <v>2024</v>
      </c>
      <c r="E684" t="s">
        <v>366</v>
      </c>
      <c r="F684" t="s">
        <v>368</v>
      </c>
      <c r="G684" t="s">
        <v>428</v>
      </c>
      <c r="H684" t="s">
        <v>490</v>
      </c>
      <c r="I684">
        <v>1607</v>
      </c>
      <c r="J684">
        <v>1.1000000000000001</v>
      </c>
      <c r="K684">
        <v>1767.7</v>
      </c>
      <c r="L684">
        <v>0.91</v>
      </c>
      <c r="M684">
        <v>1462.37</v>
      </c>
      <c r="N684">
        <v>305.33</v>
      </c>
    </row>
    <row r="685" spans="1:14" x14ac:dyDescent="0.25">
      <c r="A685">
        <v>684</v>
      </c>
      <c r="B685" t="s">
        <v>219</v>
      </c>
      <c r="C685" t="str">
        <f t="shared" si="10"/>
        <v>Mar</v>
      </c>
      <c r="D685">
        <f>YEAR(SalesData[[#This Row],[Date]])</f>
        <v>2024</v>
      </c>
      <c r="E685" t="s">
        <v>365</v>
      </c>
      <c r="F685" t="s">
        <v>368</v>
      </c>
      <c r="G685" t="s">
        <v>458</v>
      </c>
      <c r="H685" t="s">
        <v>476</v>
      </c>
      <c r="I685">
        <v>4866</v>
      </c>
      <c r="J685">
        <v>1.46</v>
      </c>
      <c r="K685">
        <v>7104.36</v>
      </c>
      <c r="L685">
        <v>0.92</v>
      </c>
      <c r="M685">
        <v>4476.72</v>
      </c>
      <c r="N685">
        <v>2627.64</v>
      </c>
    </row>
    <row r="686" spans="1:14" x14ac:dyDescent="0.25">
      <c r="A686">
        <v>685</v>
      </c>
      <c r="B686" t="s">
        <v>335</v>
      </c>
      <c r="C686" t="str">
        <f t="shared" si="10"/>
        <v>Jun</v>
      </c>
      <c r="D686">
        <f>YEAR(SalesData[[#This Row],[Date]])</f>
        <v>2024</v>
      </c>
      <c r="E686" t="s">
        <v>363</v>
      </c>
      <c r="F686" t="s">
        <v>368</v>
      </c>
      <c r="G686" t="s">
        <v>424</v>
      </c>
      <c r="H686" t="s">
        <v>487</v>
      </c>
      <c r="I686">
        <v>3891</v>
      </c>
      <c r="J686">
        <v>1.47</v>
      </c>
      <c r="K686">
        <v>5719.77</v>
      </c>
      <c r="L686">
        <v>0.99</v>
      </c>
      <c r="M686">
        <v>3852.09</v>
      </c>
      <c r="N686">
        <v>1867.68</v>
      </c>
    </row>
    <row r="687" spans="1:14" x14ac:dyDescent="0.25">
      <c r="A687">
        <v>686</v>
      </c>
      <c r="B687" t="s">
        <v>223</v>
      </c>
      <c r="C687" t="str">
        <f t="shared" si="10"/>
        <v>Nov</v>
      </c>
      <c r="D687">
        <f>YEAR(SalesData[[#This Row],[Date]])</f>
        <v>2024</v>
      </c>
      <c r="E687" t="s">
        <v>366</v>
      </c>
      <c r="F687" t="s">
        <v>370</v>
      </c>
      <c r="G687" t="s">
        <v>427</v>
      </c>
      <c r="H687" t="s">
        <v>485</v>
      </c>
      <c r="I687">
        <v>1374</v>
      </c>
      <c r="J687">
        <v>0.89</v>
      </c>
      <c r="K687">
        <v>1222.8599999999999</v>
      </c>
      <c r="L687">
        <v>0.54</v>
      </c>
      <c r="M687">
        <v>741.96</v>
      </c>
      <c r="N687">
        <v>480.9</v>
      </c>
    </row>
    <row r="688" spans="1:14" x14ac:dyDescent="0.25">
      <c r="A688">
        <v>687</v>
      </c>
      <c r="B688" t="s">
        <v>294</v>
      </c>
      <c r="C688" t="str">
        <f t="shared" si="10"/>
        <v>Nov</v>
      </c>
      <c r="D688">
        <f>YEAR(SalesData[[#This Row],[Date]])</f>
        <v>2024</v>
      </c>
      <c r="E688" t="s">
        <v>366</v>
      </c>
      <c r="F688" t="s">
        <v>370</v>
      </c>
      <c r="G688" t="s">
        <v>448</v>
      </c>
      <c r="H688" t="s">
        <v>477</v>
      </c>
      <c r="I688">
        <v>2391</v>
      </c>
      <c r="J688">
        <v>1.28</v>
      </c>
      <c r="K688">
        <v>3060.48</v>
      </c>
      <c r="L688">
        <v>0.88</v>
      </c>
      <c r="M688">
        <v>2104.08</v>
      </c>
      <c r="N688">
        <v>956.4</v>
      </c>
    </row>
    <row r="689" spans="1:14" x14ac:dyDescent="0.25">
      <c r="A689">
        <v>688</v>
      </c>
      <c r="B689" t="s">
        <v>336</v>
      </c>
      <c r="C689" t="str">
        <f t="shared" si="10"/>
        <v>Dec</v>
      </c>
      <c r="D689">
        <f>YEAR(SalesData[[#This Row],[Date]])</f>
        <v>2024</v>
      </c>
      <c r="E689" t="s">
        <v>366</v>
      </c>
      <c r="F689" t="s">
        <v>369</v>
      </c>
      <c r="G689" t="s">
        <v>405</v>
      </c>
      <c r="H689" t="s">
        <v>489</v>
      </c>
      <c r="I689">
        <v>4340</v>
      </c>
      <c r="J689">
        <v>1.3</v>
      </c>
      <c r="K689">
        <v>5642</v>
      </c>
      <c r="L689">
        <v>0.9</v>
      </c>
      <c r="M689">
        <v>3906</v>
      </c>
      <c r="N689">
        <v>1736</v>
      </c>
    </row>
    <row r="690" spans="1:14" x14ac:dyDescent="0.25">
      <c r="A690">
        <v>689</v>
      </c>
      <c r="B690" t="s">
        <v>155</v>
      </c>
      <c r="C690" t="str">
        <f t="shared" si="10"/>
        <v>Jul</v>
      </c>
      <c r="D690">
        <f>YEAR(SalesData[[#This Row],[Date]])</f>
        <v>2024</v>
      </c>
      <c r="E690" t="s">
        <v>364</v>
      </c>
      <c r="F690" t="s">
        <v>369</v>
      </c>
      <c r="G690" t="s">
        <v>457</v>
      </c>
      <c r="H690" t="s">
        <v>480</v>
      </c>
      <c r="I690">
        <v>2083</v>
      </c>
      <c r="J690">
        <v>0.96</v>
      </c>
      <c r="K690">
        <v>1999.68</v>
      </c>
      <c r="L690">
        <v>0.67</v>
      </c>
      <c r="M690">
        <v>1395.61</v>
      </c>
      <c r="N690">
        <v>604.07000000000005</v>
      </c>
    </row>
    <row r="691" spans="1:14" x14ac:dyDescent="0.25">
      <c r="A691">
        <v>690</v>
      </c>
      <c r="B691" t="s">
        <v>38</v>
      </c>
      <c r="C691" t="str">
        <f t="shared" si="10"/>
        <v>Jan</v>
      </c>
      <c r="D691">
        <f>YEAR(SalesData[[#This Row],[Date]])</f>
        <v>2024</v>
      </c>
      <c r="E691" t="s">
        <v>364</v>
      </c>
      <c r="F691" t="s">
        <v>370</v>
      </c>
      <c r="G691" t="s">
        <v>373</v>
      </c>
      <c r="H691" t="s">
        <v>485</v>
      </c>
      <c r="I691">
        <v>2175</v>
      </c>
      <c r="J691">
        <v>0.85</v>
      </c>
      <c r="K691">
        <v>1848.75</v>
      </c>
      <c r="L691">
        <v>0.71</v>
      </c>
      <c r="M691">
        <v>1544.25</v>
      </c>
      <c r="N691">
        <v>304.5</v>
      </c>
    </row>
    <row r="692" spans="1:14" x14ac:dyDescent="0.25">
      <c r="A692">
        <v>691</v>
      </c>
      <c r="B692" t="s">
        <v>31</v>
      </c>
      <c r="C692" t="str">
        <f t="shared" si="10"/>
        <v>Aug</v>
      </c>
      <c r="D692">
        <f>YEAR(SalesData[[#This Row],[Date]])</f>
        <v>2024</v>
      </c>
      <c r="E692" t="s">
        <v>365</v>
      </c>
      <c r="F692" t="s">
        <v>369</v>
      </c>
      <c r="G692" t="s">
        <v>378</v>
      </c>
      <c r="H692" t="s">
        <v>477</v>
      </c>
      <c r="I692">
        <v>4002</v>
      </c>
      <c r="J692">
        <v>1.08</v>
      </c>
      <c r="K692">
        <v>4322.16</v>
      </c>
      <c r="L692">
        <v>0.66</v>
      </c>
      <c r="M692">
        <v>2641.32</v>
      </c>
      <c r="N692">
        <v>1680.84</v>
      </c>
    </row>
    <row r="693" spans="1:14" x14ac:dyDescent="0.25">
      <c r="A693">
        <v>692</v>
      </c>
      <c r="B693" t="s">
        <v>79</v>
      </c>
      <c r="C693" t="str">
        <f t="shared" si="10"/>
        <v>Jul</v>
      </c>
      <c r="D693">
        <f>YEAR(SalesData[[#This Row],[Date]])</f>
        <v>2024</v>
      </c>
      <c r="E693" t="s">
        <v>364</v>
      </c>
      <c r="F693" t="s">
        <v>370</v>
      </c>
      <c r="G693" t="s">
        <v>422</v>
      </c>
      <c r="H693" t="s">
        <v>479</v>
      </c>
      <c r="I693">
        <v>4892</v>
      </c>
      <c r="J693">
        <v>1.17</v>
      </c>
      <c r="K693">
        <v>5723.64</v>
      </c>
      <c r="L693">
        <v>0.96</v>
      </c>
      <c r="M693">
        <v>4696.32</v>
      </c>
      <c r="N693">
        <v>1027.32</v>
      </c>
    </row>
    <row r="694" spans="1:14" x14ac:dyDescent="0.25">
      <c r="A694">
        <v>693</v>
      </c>
      <c r="B694" t="s">
        <v>204</v>
      </c>
      <c r="C694" t="str">
        <f t="shared" si="10"/>
        <v>Jan</v>
      </c>
      <c r="D694">
        <f>YEAR(SalesData[[#This Row],[Date]])</f>
        <v>2024</v>
      </c>
      <c r="E694" t="s">
        <v>364</v>
      </c>
      <c r="F694" t="s">
        <v>367</v>
      </c>
      <c r="G694" t="s">
        <v>378</v>
      </c>
      <c r="H694" t="s">
        <v>478</v>
      </c>
      <c r="I694">
        <v>2512</v>
      </c>
      <c r="J694">
        <v>1.1599999999999999</v>
      </c>
      <c r="K694">
        <v>2913.92</v>
      </c>
      <c r="L694">
        <v>0.81</v>
      </c>
      <c r="M694">
        <v>2034.72</v>
      </c>
      <c r="N694">
        <v>879.2</v>
      </c>
    </row>
    <row r="695" spans="1:14" x14ac:dyDescent="0.25">
      <c r="A695">
        <v>694</v>
      </c>
      <c r="B695" t="s">
        <v>53</v>
      </c>
      <c r="C695" t="str">
        <f t="shared" si="10"/>
        <v>Jan</v>
      </c>
      <c r="D695">
        <f>YEAR(SalesData[[#This Row],[Date]])</f>
        <v>2024</v>
      </c>
      <c r="E695" t="s">
        <v>363</v>
      </c>
      <c r="F695" t="s">
        <v>369</v>
      </c>
      <c r="G695" t="s">
        <v>395</v>
      </c>
      <c r="H695" t="s">
        <v>482</v>
      </c>
      <c r="I695">
        <v>4100</v>
      </c>
      <c r="J695">
        <v>1.08</v>
      </c>
      <c r="K695">
        <v>4428</v>
      </c>
      <c r="L695">
        <v>0.73</v>
      </c>
      <c r="M695">
        <v>2993</v>
      </c>
      <c r="N695">
        <v>1435</v>
      </c>
    </row>
    <row r="696" spans="1:14" x14ac:dyDescent="0.25">
      <c r="A696">
        <v>695</v>
      </c>
      <c r="B696" t="s">
        <v>40</v>
      </c>
      <c r="C696" t="str">
        <f t="shared" si="10"/>
        <v>May</v>
      </c>
      <c r="D696">
        <f>YEAR(SalesData[[#This Row],[Date]])</f>
        <v>2024</v>
      </c>
      <c r="E696" t="s">
        <v>366</v>
      </c>
      <c r="F696" t="s">
        <v>369</v>
      </c>
      <c r="G696" t="s">
        <v>449</v>
      </c>
      <c r="H696" t="s">
        <v>482</v>
      </c>
      <c r="I696">
        <v>946</v>
      </c>
      <c r="J696">
        <v>1.28</v>
      </c>
      <c r="K696">
        <v>1210.8800000000001</v>
      </c>
      <c r="L696">
        <v>1.06</v>
      </c>
      <c r="M696">
        <v>1002.76</v>
      </c>
      <c r="N696">
        <v>208.12</v>
      </c>
    </row>
    <row r="697" spans="1:14" x14ac:dyDescent="0.25">
      <c r="A697">
        <v>696</v>
      </c>
      <c r="B697" t="s">
        <v>191</v>
      </c>
      <c r="C697" t="str">
        <f t="shared" si="10"/>
        <v>Aug</v>
      </c>
      <c r="D697">
        <f>YEAR(SalesData[[#This Row],[Date]])</f>
        <v>2024</v>
      </c>
      <c r="E697" t="s">
        <v>363</v>
      </c>
      <c r="F697" t="s">
        <v>369</v>
      </c>
      <c r="G697" t="s">
        <v>451</v>
      </c>
      <c r="H697" t="s">
        <v>490</v>
      </c>
      <c r="I697">
        <v>1427</v>
      </c>
      <c r="J697">
        <v>0.93</v>
      </c>
      <c r="K697">
        <v>1327.11</v>
      </c>
      <c r="L697">
        <v>0.69</v>
      </c>
      <c r="M697">
        <v>984.63</v>
      </c>
      <c r="N697">
        <v>342.48</v>
      </c>
    </row>
    <row r="698" spans="1:14" x14ac:dyDescent="0.25">
      <c r="A698">
        <v>697</v>
      </c>
      <c r="B698" t="s">
        <v>70</v>
      </c>
      <c r="C698" t="str">
        <f t="shared" si="10"/>
        <v>Dec</v>
      </c>
      <c r="D698">
        <f>YEAR(SalesData[[#This Row],[Date]])</f>
        <v>2024</v>
      </c>
      <c r="E698" t="s">
        <v>364</v>
      </c>
      <c r="F698" t="s">
        <v>368</v>
      </c>
      <c r="G698" t="s">
        <v>438</v>
      </c>
      <c r="H698" t="s">
        <v>487</v>
      </c>
      <c r="I698">
        <v>4193</v>
      </c>
      <c r="J698">
        <v>0.82</v>
      </c>
      <c r="K698">
        <v>3438.26</v>
      </c>
      <c r="L698">
        <v>0.59</v>
      </c>
      <c r="M698">
        <v>2473.87</v>
      </c>
      <c r="N698">
        <v>964.39</v>
      </c>
    </row>
    <row r="699" spans="1:14" x14ac:dyDescent="0.25">
      <c r="A699">
        <v>698</v>
      </c>
      <c r="B699" t="s">
        <v>228</v>
      </c>
      <c r="C699" t="str">
        <f t="shared" si="10"/>
        <v>Dec</v>
      </c>
      <c r="D699">
        <f>YEAR(SalesData[[#This Row],[Date]])</f>
        <v>2024</v>
      </c>
      <c r="E699" t="s">
        <v>364</v>
      </c>
      <c r="F699" t="s">
        <v>368</v>
      </c>
      <c r="G699" t="s">
        <v>437</v>
      </c>
      <c r="H699" t="s">
        <v>471</v>
      </c>
      <c r="I699">
        <v>3154</v>
      </c>
      <c r="J699">
        <v>1.28</v>
      </c>
      <c r="K699">
        <v>4037.12</v>
      </c>
      <c r="L699">
        <v>1.06</v>
      </c>
      <c r="M699">
        <v>3343.24</v>
      </c>
      <c r="N699">
        <v>693.88</v>
      </c>
    </row>
    <row r="700" spans="1:14" x14ac:dyDescent="0.25">
      <c r="A700">
        <v>699</v>
      </c>
      <c r="B700" t="s">
        <v>205</v>
      </c>
      <c r="C700" t="str">
        <f t="shared" si="10"/>
        <v>Mar</v>
      </c>
      <c r="D700">
        <f>YEAR(SalesData[[#This Row],[Date]])</f>
        <v>2024</v>
      </c>
      <c r="E700" t="s">
        <v>363</v>
      </c>
      <c r="F700" t="s">
        <v>367</v>
      </c>
      <c r="G700" t="s">
        <v>409</v>
      </c>
      <c r="H700" t="s">
        <v>473</v>
      </c>
      <c r="I700">
        <v>3473</v>
      </c>
      <c r="J700">
        <v>0.86</v>
      </c>
      <c r="K700">
        <v>2986.78</v>
      </c>
      <c r="L700">
        <v>0.67</v>
      </c>
      <c r="M700">
        <v>2326.91</v>
      </c>
      <c r="N700">
        <v>659.87</v>
      </c>
    </row>
    <row r="701" spans="1:14" x14ac:dyDescent="0.25">
      <c r="A701">
        <v>700</v>
      </c>
      <c r="B701" t="s">
        <v>337</v>
      </c>
      <c r="C701" t="str">
        <f t="shared" si="10"/>
        <v>Sep</v>
      </c>
      <c r="D701">
        <f>YEAR(SalesData[[#This Row],[Date]])</f>
        <v>2024</v>
      </c>
      <c r="E701" t="s">
        <v>364</v>
      </c>
      <c r="F701" t="s">
        <v>368</v>
      </c>
      <c r="G701" t="s">
        <v>385</v>
      </c>
      <c r="H701" t="s">
        <v>484</v>
      </c>
      <c r="I701">
        <v>859</v>
      </c>
      <c r="J701">
        <v>1.34</v>
      </c>
      <c r="K701">
        <v>1151.06</v>
      </c>
      <c r="L701">
        <v>1.1100000000000001</v>
      </c>
      <c r="M701">
        <v>953.49</v>
      </c>
      <c r="N701">
        <v>197.57</v>
      </c>
    </row>
    <row r="702" spans="1:14" x14ac:dyDescent="0.25">
      <c r="A702">
        <v>701</v>
      </c>
      <c r="B702" t="s">
        <v>252</v>
      </c>
      <c r="C702" t="str">
        <f t="shared" si="10"/>
        <v>Oct</v>
      </c>
      <c r="D702">
        <f>YEAR(SalesData[[#This Row],[Date]])</f>
        <v>2024</v>
      </c>
      <c r="E702" t="s">
        <v>366</v>
      </c>
      <c r="F702" t="s">
        <v>368</v>
      </c>
      <c r="G702" t="s">
        <v>446</v>
      </c>
      <c r="H702" t="s">
        <v>480</v>
      </c>
      <c r="I702">
        <v>920</v>
      </c>
      <c r="J702">
        <v>1.0900000000000001</v>
      </c>
      <c r="K702">
        <v>1002.8</v>
      </c>
      <c r="L702">
        <v>0.74</v>
      </c>
      <c r="M702">
        <v>680.8</v>
      </c>
      <c r="N702">
        <v>322</v>
      </c>
    </row>
    <row r="703" spans="1:14" x14ac:dyDescent="0.25">
      <c r="A703">
        <v>702</v>
      </c>
      <c r="B703" t="s">
        <v>176</v>
      </c>
      <c r="C703" t="str">
        <f t="shared" si="10"/>
        <v>Aug</v>
      </c>
      <c r="D703">
        <f>YEAR(SalesData[[#This Row],[Date]])</f>
        <v>2024</v>
      </c>
      <c r="E703" t="s">
        <v>366</v>
      </c>
      <c r="F703" t="s">
        <v>370</v>
      </c>
      <c r="G703" t="s">
        <v>459</v>
      </c>
      <c r="H703" t="s">
        <v>474</v>
      </c>
      <c r="I703">
        <v>2161</v>
      </c>
      <c r="J703">
        <v>0.8</v>
      </c>
      <c r="K703">
        <v>1728.8</v>
      </c>
      <c r="L703">
        <v>0.63</v>
      </c>
      <c r="M703">
        <v>1361.43</v>
      </c>
      <c r="N703">
        <v>367.37</v>
      </c>
    </row>
    <row r="704" spans="1:14" x14ac:dyDescent="0.25">
      <c r="A704">
        <v>703</v>
      </c>
      <c r="B704" t="s">
        <v>267</v>
      </c>
      <c r="C704" t="str">
        <f t="shared" si="10"/>
        <v>Jan</v>
      </c>
      <c r="D704">
        <f>YEAR(SalesData[[#This Row],[Date]])</f>
        <v>2024</v>
      </c>
      <c r="E704" t="s">
        <v>364</v>
      </c>
      <c r="F704" t="s">
        <v>369</v>
      </c>
      <c r="G704" t="s">
        <v>460</v>
      </c>
      <c r="H704" t="s">
        <v>476</v>
      </c>
      <c r="I704">
        <v>547</v>
      </c>
      <c r="J704">
        <v>1.23</v>
      </c>
      <c r="K704">
        <v>672.81</v>
      </c>
      <c r="L704">
        <v>0.89</v>
      </c>
      <c r="M704">
        <v>486.83</v>
      </c>
      <c r="N704">
        <v>185.98</v>
      </c>
    </row>
    <row r="705" spans="1:14" x14ac:dyDescent="0.25">
      <c r="A705">
        <v>704</v>
      </c>
      <c r="B705" t="s">
        <v>331</v>
      </c>
      <c r="C705" t="str">
        <f t="shared" si="10"/>
        <v>Apr</v>
      </c>
      <c r="D705">
        <f>YEAR(SalesData[[#This Row],[Date]])</f>
        <v>2024</v>
      </c>
      <c r="E705" t="s">
        <v>364</v>
      </c>
      <c r="F705" t="s">
        <v>369</v>
      </c>
      <c r="G705" t="s">
        <v>438</v>
      </c>
      <c r="H705" t="s">
        <v>473</v>
      </c>
      <c r="I705">
        <v>1150</v>
      </c>
      <c r="J705">
        <v>1.22</v>
      </c>
      <c r="K705">
        <v>1403</v>
      </c>
      <c r="L705">
        <v>0.73</v>
      </c>
      <c r="M705">
        <v>839.5</v>
      </c>
      <c r="N705">
        <v>563.5</v>
      </c>
    </row>
    <row r="706" spans="1:14" x14ac:dyDescent="0.25">
      <c r="A706">
        <v>705</v>
      </c>
      <c r="B706" t="s">
        <v>64</v>
      </c>
      <c r="C706" t="str">
        <f t="shared" ref="C706:C769" si="11">TEXT(B706,"mmm")</f>
        <v>Oct</v>
      </c>
      <c r="D706">
        <f>YEAR(SalesData[[#This Row],[Date]])</f>
        <v>2024</v>
      </c>
      <c r="E706" t="s">
        <v>366</v>
      </c>
      <c r="F706" t="s">
        <v>370</v>
      </c>
      <c r="G706" t="s">
        <v>456</v>
      </c>
      <c r="H706" t="s">
        <v>480</v>
      </c>
      <c r="I706">
        <v>1714</v>
      </c>
      <c r="J706">
        <v>0.84</v>
      </c>
      <c r="K706">
        <v>1439.76</v>
      </c>
      <c r="L706">
        <v>0.57999999999999996</v>
      </c>
      <c r="M706">
        <v>994.12</v>
      </c>
      <c r="N706">
        <v>445.64</v>
      </c>
    </row>
    <row r="707" spans="1:14" x14ac:dyDescent="0.25">
      <c r="A707">
        <v>706</v>
      </c>
      <c r="B707" t="s">
        <v>219</v>
      </c>
      <c r="C707" t="str">
        <f t="shared" si="11"/>
        <v>Mar</v>
      </c>
      <c r="D707">
        <f>YEAR(SalesData[[#This Row],[Date]])</f>
        <v>2024</v>
      </c>
      <c r="E707" t="s">
        <v>365</v>
      </c>
      <c r="F707" t="s">
        <v>367</v>
      </c>
      <c r="G707" t="s">
        <v>423</v>
      </c>
      <c r="H707" t="s">
        <v>486</v>
      </c>
      <c r="I707">
        <v>901</v>
      </c>
      <c r="J707">
        <v>0.88</v>
      </c>
      <c r="K707">
        <v>792.88</v>
      </c>
      <c r="L707">
        <v>0.75</v>
      </c>
      <c r="M707">
        <v>675.75</v>
      </c>
      <c r="N707">
        <v>117.13</v>
      </c>
    </row>
    <row r="708" spans="1:14" x14ac:dyDescent="0.25">
      <c r="A708">
        <v>707</v>
      </c>
      <c r="B708" t="s">
        <v>27</v>
      </c>
      <c r="C708" t="str">
        <f t="shared" si="11"/>
        <v>Mar</v>
      </c>
      <c r="D708">
        <f>YEAR(SalesData[[#This Row],[Date]])</f>
        <v>2024</v>
      </c>
      <c r="E708" t="s">
        <v>366</v>
      </c>
      <c r="F708" t="s">
        <v>370</v>
      </c>
      <c r="G708" t="s">
        <v>378</v>
      </c>
      <c r="H708" t="s">
        <v>479</v>
      </c>
      <c r="I708">
        <v>3450</v>
      </c>
      <c r="J708">
        <v>1.45</v>
      </c>
      <c r="K708">
        <v>5002.5</v>
      </c>
      <c r="L708">
        <v>0.9</v>
      </c>
      <c r="M708">
        <v>3105</v>
      </c>
      <c r="N708">
        <v>1897.5</v>
      </c>
    </row>
    <row r="709" spans="1:14" x14ac:dyDescent="0.25">
      <c r="A709">
        <v>708</v>
      </c>
      <c r="B709" t="s">
        <v>338</v>
      </c>
      <c r="C709" t="str">
        <f t="shared" si="11"/>
        <v>Jun</v>
      </c>
      <c r="D709">
        <f>YEAR(SalesData[[#This Row],[Date]])</f>
        <v>2024</v>
      </c>
      <c r="E709" t="s">
        <v>365</v>
      </c>
      <c r="F709" t="s">
        <v>370</v>
      </c>
      <c r="G709" t="s">
        <v>464</v>
      </c>
      <c r="H709" t="s">
        <v>486</v>
      </c>
      <c r="I709">
        <v>4000</v>
      </c>
      <c r="J709">
        <v>1.39</v>
      </c>
      <c r="K709">
        <v>5560</v>
      </c>
      <c r="L709">
        <v>0.86</v>
      </c>
      <c r="M709">
        <v>3440</v>
      </c>
      <c r="N709">
        <v>2120</v>
      </c>
    </row>
    <row r="710" spans="1:14" x14ac:dyDescent="0.25">
      <c r="A710">
        <v>709</v>
      </c>
      <c r="B710" t="s">
        <v>199</v>
      </c>
      <c r="C710" t="str">
        <f t="shared" si="11"/>
        <v>Aug</v>
      </c>
      <c r="D710">
        <f>YEAR(SalesData[[#This Row],[Date]])</f>
        <v>2024</v>
      </c>
      <c r="E710" t="s">
        <v>363</v>
      </c>
      <c r="F710" t="s">
        <v>368</v>
      </c>
      <c r="G710" t="s">
        <v>454</v>
      </c>
      <c r="H710" t="s">
        <v>471</v>
      </c>
      <c r="I710">
        <v>3196</v>
      </c>
      <c r="J710">
        <v>1.17</v>
      </c>
      <c r="K710">
        <v>3739.32</v>
      </c>
      <c r="L710">
        <v>0.86</v>
      </c>
      <c r="M710">
        <v>2748.56</v>
      </c>
      <c r="N710">
        <v>990.76</v>
      </c>
    </row>
    <row r="711" spans="1:14" x14ac:dyDescent="0.25">
      <c r="A711">
        <v>710</v>
      </c>
      <c r="B711" t="s">
        <v>70</v>
      </c>
      <c r="C711" t="str">
        <f t="shared" si="11"/>
        <v>Dec</v>
      </c>
      <c r="D711">
        <f>YEAR(SalesData[[#This Row],[Date]])</f>
        <v>2024</v>
      </c>
      <c r="E711" t="s">
        <v>363</v>
      </c>
      <c r="F711" t="s">
        <v>368</v>
      </c>
      <c r="G711" t="s">
        <v>450</v>
      </c>
      <c r="H711" t="s">
        <v>479</v>
      </c>
      <c r="I711">
        <v>4833</v>
      </c>
      <c r="J711">
        <v>1.49</v>
      </c>
      <c r="K711">
        <v>7201.17</v>
      </c>
      <c r="L711">
        <v>1.07</v>
      </c>
      <c r="M711">
        <v>5171.3100000000004</v>
      </c>
      <c r="N711">
        <v>2029.86</v>
      </c>
    </row>
    <row r="712" spans="1:14" x14ac:dyDescent="0.25">
      <c r="A712">
        <v>711</v>
      </c>
      <c r="B712" t="s">
        <v>336</v>
      </c>
      <c r="C712" t="str">
        <f t="shared" si="11"/>
        <v>Dec</v>
      </c>
      <c r="D712">
        <f>YEAR(SalesData[[#This Row],[Date]])</f>
        <v>2024</v>
      </c>
      <c r="E712" t="s">
        <v>364</v>
      </c>
      <c r="F712" t="s">
        <v>370</v>
      </c>
      <c r="G712" t="s">
        <v>444</v>
      </c>
      <c r="H712" t="s">
        <v>487</v>
      </c>
      <c r="I712">
        <v>2627</v>
      </c>
      <c r="J712">
        <v>1.17</v>
      </c>
      <c r="K712">
        <v>3073.59</v>
      </c>
      <c r="L712">
        <v>0.99</v>
      </c>
      <c r="M712">
        <v>2600.73</v>
      </c>
      <c r="N712">
        <v>472.86</v>
      </c>
    </row>
    <row r="713" spans="1:14" x14ac:dyDescent="0.25">
      <c r="A713">
        <v>712</v>
      </c>
      <c r="B713" t="s">
        <v>35</v>
      </c>
      <c r="C713" t="str">
        <f t="shared" si="11"/>
        <v>Jun</v>
      </c>
      <c r="D713">
        <f>YEAR(SalesData[[#This Row],[Date]])</f>
        <v>2024</v>
      </c>
      <c r="E713" t="s">
        <v>364</v>
      </c>
      <c r="F713" t="s">
        <v>368</v>
      </c>
      <c r="G713" t="s">
        <v>430</v>
      </c>
      <c r="H713" t="s">
        <v>483</v>
      </c>
      <c r="I713">
        <v>4534</v>
      </c>
      <c r="J713">
        <v>1.37</v>
      </c>
      <c r="K713">
        <v>6211.58</v>
      </c>
      <c r="L713">
        <v>1.1200000000000001</v>
      </c>
      <c r="M713">
        <v>5078.08</v>
      </c>
      <c r="N713">
        <v>1133.5</v>
      </c>
    </row>
    <row r="714" spans="1:14" x14ac:dyDescent="0.25">
      <c r="A714">
        <v>713</v>
      </c>
      <c r="B714" t="s">
        <v>136</v>
      </c>
      <c r="C714" t="str">
        <f t="shared" si="11"/>
        <v>Apr</v>
      </c>
      <c r="D714">
        <f>YEAR(SalesData[[#This Row],[Date]])</f>
        <v>2024</v>
      </c>
      <c r="E714" t="s">
        <v>366</v>
      </c>
      <c r="F714" t="s">
        <v>370</v>
      </c>
      <c r="G714" t="s">
        <v>398</v>
      </c>
      <c r="H714" t="s">
        <v>488</v>
      </c>
      <c r="I714">
        <v>696</v>
      </c>
      <c r="J714">
        <v>1.1299999999999999</v>
      </c>
      <c r="K714">
        <v>786.48</v>
      </c>
      <c r="L714">
        <v>0.9</v>
      </c>
      <c r="M714">
        <v>626.4</v>
      </c>
      <c r="N714">
        <v>160.08000000000001</v>
      </c>
    </row>
    <row r="715" spans="1:14" x14ac:dyDescent="0.25">
      <c r="A715">
        <v>714</v>
      </c>
      <c r="B715" t="s">
        <v>101</v>
      </c>
      <c r="C715" t="str">
        <f t="shared" si="11"/>
        <v>Apr</v>
      </c>
      <c r="D715">
        <f>YEAR(SalesData[[#This Row],[Date]])</f>
        <v>2024</v>
      </c>
      <c r="E715" t="s">
        <v>364</v>
      </c>
      <c r="F715" t="s">
        <v>369</v>
      </c>
      <c r="G715" t="s">
        <v>377</v>
      </c>
      <c r="H715" t="s">
        <v>487</v>
      </c>
      <c r="I715">
        <v>3364</v>
      </c>
      <c r="J715">
        <v>1.19</v>
      </c>
      <c r="K715">
        <v>4003.16</v>
      </c>
      <c r="L715">
        <v>0.9</v>
      </c>
      <c r="M715">
        <v>3027.6</v>
      </c>
      <c r="N715">
        <v>975.56</v>
      </c>
    </row>
    <row r="716" spans="1:14" x14ac:dyDescent="0.25">
      <c r="A716">
        <v>715</v>
      </c>
      <c r="B716" t="s">
        <v>208</v>
      </c>
      <c r="C716" t="str">
        <f t="shared" si="11"/>
        <v>Jan</v>
      </c>
      <c r="D716">
        <f>YEAR(SalesData[[#This Row],[Date]])</f>
        <v>2024</v>
      </c>
      <c r="E716" t="s">
        <v>365</v>
      </c>
      <c r="F716" t="s">
        <v>368</v>
      </c>
      <c r="G716" t="s">
        <v>408</v>
      </c>
      <c r="H716" t="s">
        <v>486</v>
      </c>
      <c r="I716">
        <v>3021</v>
      </c>
      <c r="J716">
        <v>1.01</v>
      </c>
      <c r="K716">
        <v>3051.21</v>
      </c>
      <c r="L716">
        <v>0.74</v>
      </c>
      <c r="M716">
        <v>2235.54</v>
      </c>
      <c r="N716">
        <v>815.67</v>
      </c>
    </row>
    <row r="717" spans="1:14" x14ac:dyDescent="0.25">
      <c r="A717">
        <v>716</v>
      </c>
      <c r="B717" t="s">
        <v>235</v>
      </c>
      <c r="C717" t="str">
        <f t="shared" si="11"/>
        <v>Jan</v>
      </c>
      <c r="D717">
        <f>YEAR(SalesData[[#This Row],[Date]])</f>
        <v>2024</v>
      </c>
      <c r="E717" t="s">
        <v>365</v>
      </c>
      <c r="F717" t="s">
        <v>367</v>
      </c>
      <c r="G717" t="s">
        <v>425</v>
      </c>
      <c r="H717" t="s">
        <v>484</v>
      </c>
      <c r="I717">
        <v>738</v>
      </c>
      <c r="J717">
        <v>1.38</v>
      </c>
      <c r="K717">
        <v>1018.44</v>
      </c>
      <c r="L717">
        <v>0.89</v>
      </c>
      <c r="M717">
        <v>656.82</v>
      </c>
      <c r="N717">
        <v>361.62</v>
      </c>
    </row>
    <row r="718" spans="1:14" x14ac:dyDescent="0.25">
      <c r="A718">
        <v>717</v>
      </c>
      <c r="B718" t="s">
        <v>312</v>
      </c>
      <c r="C718" t="str">
        <f t="shared" si="11"/>
        <v>Jun</v>
      </c>
      <c r="D718">
        <f>YEAR(SalesData[[#This Row],[Date]])</f>
        <v>2024</v>
      </c>
      <c r="E718" t="s">
        <v>364</v>
      </c>
      <c r="F718" t="s">
        <v>369</v>
      </c>
      <c r="G718" t="s">
        <v>372</v>
      </c>
      <c r="H718" t="s">
        <v>474</v>
      </c>
      <c r="I718">
        <v>4444</v>
      </c>
      <c r="J718">
        <v>0.91</v>
      </c>
      <c r="K718">
        <v>4044.04</v>
      </c>
      <c r="L718">
        <v>0.65</v>
      </c>
      <c r="M718">
        <v>2888.6</v>
      </c>
      <c r="N718">
        <v>1155.44</v>
      </c>
    </row>
    <row r="719" spans="1:14" x14ac:dyDescent="0.25">
      <c r="A719">
        <v>718</v>
      </c>
      <c r="B719" t="s">
        <v>17</v>
      </c>
      <c r="C719" t="str">
        <f t="shared" si="11"/>
        <v>Oct</v>
      </c>
      <c r="D719">
        <f>YEAR(SalesData[[#This Row],[Date]])</f>
        <v>2024</v>
      </c>
      <c r="E719" t="s">
        <v>364</v>
      </c>
      <c r="F719" t="s">
        <v>370</v>
      </c>
      <c r="G719" t="s">
        <v>438</v>
      </c>
      <c r="H719" t="s">
        <v>478</v>
      </c>
      <c r="I719">
        <v>4768</v>
      </c>
      <c r="J719">
        <v>1.01</v>
      </c>
      <c r="K719">
        <v>4815.68</v>
      </c>
      <c r="L719">
        <v>0.79</v>
      </c>
      <c r="M719">
        <v>3766.72</v>
      </c>
      <c r="N719">
        <v>1048.96</v>
      </c>
    </row>
    <row r="720" spans="1:14" x14ac:dyDescent="0.25">
      <c r="A720">
        <v>719</v>
      </c>
      <c r="B720" t="s">
        <v>44</v>
      </c>
      <c r="C720" t="str">
        <f t="shared" si="11"/>
        <v>Jun</v>
      </c>
      <c r="D720">
        <f>YEAR(SalesData[[#This Row],[Date]])</f>
        <v>2024</v>
      </c>
      <c r="E720" t="s">
        <v>366</v>
      </c>
      <c r="F720" t="s">
        <v>367</v>
      </c>
      <c r="G720" t="s">
        <v>415</v>
      </c>
      <c r="H720" t="s">
        <v>487</v>
      </c>
      <c r="I720">
        <v>3396</v>
      </c>
      <c r="J720">
        <v>0.85</v>
      </c>
      <c r="K720">
        <v>2886.6</v>
      </c>
      <c r="L720">
        <v>0.54</v>
      </c>
      <c r="M720">
        <v>1833.84</v>
      </c>
      <c r="N720">
        <v>1052.76</v>
      </c>
    </row>
    <row r="721" spans="1:14" x14ac:dyDescent="0.25">
      <c r="A721">
        <v>720</v>
      </c>
      <c r="B721" t="s">
        <v>261</v>
      </c>
      <c r="C721" t="str">
        <f t="shared" si="11"/>
        <v>Jan</v>
      </c>
      <c r="D721">
        <f>YEAR(SalesData[[#This Row],[Date]])</f>
        <v>2024</v>
      </c>
      <c r="E721" t="s">
        <v>364</v>
      </c>
      <c r="F721" t="s">
        <v>370</v>
      </c>
      <c r="G721" t="s">
        <v>384</v>
      </c>
      <c r="H721" t="s">
        <v>476</v>
      </c>
      <c r="I721">
        <v>1859</v>
      </c>
      <c r="J721">
        <v>1.2</v>
      </c>
      <c r="K721">
        <v>2230.8000000000002</v>
      </c>
      <c r="L721">
        <v>0.84</v>
      </c>
      <c r="M721">
        <v>1561.56</v>
      </c>
      <c r="N721">
        <v>669.24</v>
      </c>
    </row>
    <row r="722" spans="1:14" x14ac:dyDescent="0.25">
      <c r="A722">
        <v>721</v>
      </c>
      <c r="B722" t="s">
        <v>230</v>
      </c>
      <c r="C722" t="str">
        <f t="shared" si="11"/>
        <v>Oct</v>
      </c>
      <c r="D722">
        <f>YEAR(SalesData[[#This Row],[Date]])</f>
        <v>2024</v>
      </c>
      <c r="E722" t="s">
        <v>365</v>
      </c>
      <c r="F722" t="s">
        <v>367</v>
      </c>
      <c r="G722" t="s">
        <v>453</v>
      </c>
      <c r="H722" t="s">
        <v>487</v>
      </c>
      <c r="I722">
        <v>759</v>
      </c>
      <c r="J722">
        <v>0.99</v>
      </c>
      <c r="K722">
        <v>751.41</v>
      </c>
      <c r="L722">
        <v>0.62</v>
      </c>
      <c r="M722">
        <v>470.58</v>
      </c>
      <c r="N722">
        <v>280.83</v>
      </c>
    </row>
    <row r="723" spans="1:14" x14ac:dyDescent="0.25">
      <c r="A723">
        <v>722</v>
      </c>
      <c r="B723" t="s">
        <v>138</v>
      </c>
      <c r="C723" t="str">
        <f t="shared" si="11"/>
        <v>May</v>
      </c>
      <c r="D723">
        <f>YEAR(SalesData[[#This Row],[Date]])</f>
        <v>2024</v>
      </c>
      <c r="E723" t="s">
        <v>364</v>
      </c>
      <c r="F723" t="s">
        <v>370</v>
      </c>
      <c r="G723" t="s">
        <v>443</v>
      </c>
      <c r="H723" t="s">
        <v>485</v>
      </c>
      <c r="I723">
        <v>4801</v>
      </c>
      <c r="J723">
        <v>1.01</v>
      </c>
      <c r="K723">
        <v>4849.01</v>
      </c>
      <c r="L723">
        <v>0.63</v>
      </c>
      <c r="M723">
        <v>3024.63</v>
      </c>
      <c r="N723">
        <v>1824.38</v>
      </c>
    </row>
    <row r="724" spans="1:14" x14ac:dyDescent="0.25">
      <c r="A724">
        <v>723</v>
      </c>
      <c r="B724" t="s">
        <v>204</v>
      </c>
      <c r="C724" t="str">
        <f t="shared" si="11"/>
        <v>Jan</v>
      </c>
      <c r="D724">
        <f>YEAR(SalesData[[#This Row],[Date]])</f>
        <v>2024</v>
      </c>
      <c r="E724" t="s">
        <v>363</v>
      </c>
      <c r="F724" t="s">
        <v>368</v>
      </c>
      <c r="G724" t="s">
        <v>396</v>
      </c>
      <c r="H724" t="s">
        <v>490</v>
      </c>
      <c r="I724">
        <v>704</v>
      </c>
      <c r="J724">
        <v>1.36</v>
      </c>
      <c r="K724">
        <v>957.44</v>
      </c>
      <c r="L724">
        <v>1.1200000000000001</v>
      </c>
      <c r="M724">
        <v>788.48</v>
      </c>
      <c r="N724">
        <v>168.96</v>
      </c>
    </row>
    <row r="725" spans="1:14" x14ac:dyDescent="0.25">
      <c r="A725">
        <v>724</v>
      </c>
      <c r="B725" t="s">
        <v>111</v>
      </c>
      <c r="C725" t="str">
        <f t="shared" si="11"/>
        <v>Mar</v>
      </c>
      <c r="D725">
        <f>YEAR(SalesData[[#This Row],[Date]])</f>
        <v>2024</v>
      </c>
      <c r="E725" t="s">
        <v>365</v>
      </c>
      <c r="F725" t="s">
        <v>368</v>
      </c>
      <c r="G725" t="s">
        <v>468</v>
      </c>
      <c r="H725" t="s">
        <v>490</v>
      </c>
      <c r="I725">
        <v>3042</v>
      </c>
      <c r="J725">
        <v>1.34</v>
      </c>
      <c r="K725">
        <v>4076.28</v>
      </c>
      <c r="L725">
        <v>0.85</v>
      </c>
      <c r="M725">
        <v>2585.6999999999998</v>
      </c>
      <c r="N725">
        <v>1490.58</v>
      </c>
    </row>
    <row r="726" spans="1:14" x14ac:dyDescent="0.25">
      <c r="A726">
        <v>725</v>
      </c>
      <c r="B726" t="s">
        <v>330</v>
      </c>
      <c r="C726" t="str">
        <f t="shared" si="11"/>
        <v>Feb</v>
      </c>
      <c r="D726">
        <f>YEAR(SalesData[[#This Row],[Date]])</f>
        <v>2024</v>
      </c>
      <c r="E726" t="s">
        <v>366</v>
      </c>
      <c r="F726" t="s">
        <v>368</v>
      </c>
      <c r="G726" t="s">
        <v>451</v>
      </c>
      <c r="H726" t="s">
        <v>478</v>
      </c>
      <c r="I726">
        <v>4263</v>
      </c>
      <c r="J726">
        <v>1.07</v>
      </c>
      <c r="K726">
        <v>4561.41</v>
      </c>
      <c r="L726">
        <v>0.87</v>
      </c>
      <c r="M726">
        <v>3708.81</v>
      </c>
      <c r="N726">
        <v>852.6</v>
      </c>
    </row>
    <row r="727" spans="1:14" x14ac:dyDescent="0.25">
      <c r="A727">
        <v>726</v>
      </c>
      <c r="B727" t="s">
        <v>339</v>
      </c>
      <c r="C727" t="str">
        <f t="shared" si="11"/>
        <v>Feb</v>
      </c>
      <c r="D727">
        <f>YEAR(SalesData[[#This Row],[Date]])</f>
        <v>2024</v>
      </c>
      <c r="E727" t="s">
        <v>365</v>
      </c>
      <c r="F727" t="s">
        <v>367</v>
      </c>
      <c r="G727" t="s">
        <v>377</v>
      </c>
      <c r="H727" t="s">
        <v>489</v>
      </c>
      <c r="I727">
        <v>1213</v>
      </c>
      <c r="J727">
        <v>1.03</v>
      </c>
      <c r="K727">
        <v>1249.3900000000001</v>
      </c>
      <c r="L727">
        <v>0.85</v>
      </c>
      <c r="M727">
        <v>1031.05</v>
      </c>
      <c r="N727">
        <v>218.34</v>
      </c>
    </row>
    <row r="728" spans="1:14" x14ac:dyDescent="0.25">
      <c r="A728">
        <v>727</v>
      </c>
      <c r="B728" t="s">
        <v>340</v>
      </c>
      <c r="C728" t="str">
        <f t="shared" si="11"/>
        <v>Feb</v>
      </c>
      <c r="D728">
        <f>YEAR(SalesData[[#This Row],[Date]])</f>
        <v>2024</v>
      </c>
      <c r="E728" t="s">
        <v>363</v>
      </c>
      <c r="F728" t="s">
        <v>370</v>
      </c>
      <c r="G728" t="s">
        <v>415</v>
      </c>
      <c r="H728" t="s">
        <v>482</v>
      </c>
      <c r="I728">
        <v>2219</v>
      </c>
      <c r="J728">
        <v>1.02</v>
      </c>
      <c r="K728">
        <v>2263.38</v>
      </c>
      <c r="L728">
        <v>0.66</v>
      </c>
      <c r="M728">
        <v>1464.54</v>
      </c>
      <c r="N728">
        <v>798.84</v>
      </c>
    </row>
    <row r="729" spans="1:14" x14ac:dyDescent="0.25">
      <c r="A729">
        <v>728</v>
      </c>
      <c r="B729" t="s">
        <v>94</v>
      </c>
      <c r="C729" t="str">
        <f t="shared" si="11"/>
        <v>May</v>
      </c>
      <c r="D729">
        <f>YEAR(SalesData[[#This Row],[Date]])</f>
        <v>2024</v>
      </c>
      <c r="E729" t="s">
        <v>364</v>
      </c>
      <c r="F729" t="s">
        <v>370</v>
      </c>
      <c r="G729" t="s">
        <v>403</v>
      </c>
      <c r="H729" t="s">
        <v>488</v>
      </c>
      <c r="I729">
        <v>2733</v>
      </c>
      <c r="J729">
        <v>0.9</v>
      </c>
      <c r="K729">
        <v>2459.6999999999998</v>
      </c>
      <c r="L729">
        <v>0.6</v>
      </c>
      <c r="M729">
        <v>1639.8</v>
      </c>
      <c r="N729">
        <v>819.9</v>
      </c>
    </row>
    <row r="730" spans="1:14" x14ac:dyDescent="0.25">
      <c r="A730">
        <v>729</v>
      </c>
      <c r="B730" t="s">
        <v>38</v>
      </c>
      <c r="C730" t="str">
        <f t="shared" si="11"/>
        <v>Jan</v>
      </c>
      <c r="D730">
        <f>YEAR(SalesData[[#This Row],[Date]])</f>
        <v>2024</v>
      </c>
      <c r="E730" t="s">
        <v>366</v>
      </c>
      <c r="F730" t="s">
        <v>367</v>
      </c>
      <c r="G730" t="s">
        <v>470</v>
      </c>
      <c r="H730" t="s">
        <v>475</v>
      </c>
      <c r="I730">
        <v>5000</v>
      </c>
      <c r="J730">
        <v>1.02</v>
      </c>
      <c r="K730">
        <v>5100</v>
      </c>
      <c r="L730">
        <v>0.65</v>
      </c>
      <c r="M730">
        <v>3250</v>
      </c>
      <c r="N730">
        <v>1850</v>
      </c>
    </row>
    <row r="731" spans="1:14" x14ac:dyDescent="0.25">
      <c r="A731">
        <v>730</v>
      </c>
      <c r="B731" t="s">
        <v>119</v>
      </c>
      <c r="C731" t="str">
        <f t="shared" si="11"/>
        <v>Dec</v>
      </c>
      <c r="D731">
        <f>YEAR(SalesData[[#This Row],[Date]])</f>
        <v>2024</v>
      </c>
      <c r="E731" t="s">
        <v>366</v>
      </c>
      <c r="F731" t="s">
        <v>370</v>
      </c>
      <c r="G731" t="s">
        <v>397</v>
      </c>
      <c r="H731" t="s">
        <v>486</v>
      </c>
      <c r="I731">
        <v>3050</v>
      </c>
      <c r="J731">
        <v>1.23</v>
      </c>
      <c r="K731">
        <v>3751.5</v>
      </c>
      <c r="L731">
        <v>0.84</v>
      </c>
      <c r="M731">
        <v>2562</v>
      </c>
      <c r="N731">
        <v>1189.5</v>
      </c>
    </row>
    <row r="732" spans="1:14" x14ac:dyDescent="0.25">
      <c r="A732">
        <v>731</v>
      </c>
      <c r="B732" t="s">
        <v>256</v>
      </c>
      <c r="C732" t="str">
        <f t="shared" si="11"/>
        <v>Aug</v>
      </c>
      <c r="D732">
        <f>YEAR(SalesData[[#This Row],[Date]])</f>
        <v>2024</v>
      </c>
      <c r="E732" t="s">
        <v>366</v>
      </c>
      <c r="F732" t="s">
        <v>367</v>
      </c>
      <c r="G732" t="s">
        <v>435</v>
      </c>
      <c r="H732" t="s">
        <v>483</v>
      </c>
      <c r="I732">
        <v>913</v>
      </c>
      <c r="J732">
        <v>0.87</v>
      </c>
      <c r="K732">
        <v>794.31</v>
      </c>
      <c r="L732">
        <v>0.53</v>
      </c>
      <c r="M732">
        <v>483.89</v>
      </c>
      <c r="N732">
        <v>310.42</v>
      </c>
    </row>
    <row r="733" spans="1:14" x14ac:dyDescent="0.25">
      <c r="A733">
        <v>732</v>
      </c>
      <c r="B733" t="s">
        <v>139</v>
      </c>
      <c r="C733" t="str">
        <f t="shared" si="11"/>
        <v>Aug</v>
      </c>
      <c r="D733">
        <f>YEAR(SalesData[[#This Row],[Date]])</f>
        <v>2024</v>
      </c>
      <c r="E733" t="s">
        <v>366</v>
      </c>
      <c r="F733" t="s">
        <v>369</v>
      </c>
      <c r="G733" t="s">
        <v>453</v>
      </c>
      <c r="H733" t="s">
        <v>489</v>
      </c>
      <c r="I733">
        <v>4152</v>
      </c>
      <c r="J733">
        <v>1.23</v>
      </c>
      <c r="K733">
        <v>5106.96</v>
      </c>
      <c r="L733">
        <v>0.83</v>
      </c>
      <c r="M733">
        <v>3446.16</v>
      </c>
      <c r="N733">
        <v>1660.8</v>
      </c>
    </row>
    <row r="734" spans="1:14" x14ac:dyDescent="0.25">
      <c r="A734">
        <v>733</v>
      </c>
      <c r="B734" t="s">
        <v>244</v>
      </c>
      <c r="C734" t="str">
        <f t="shared" si="11"/>
        <v>Apr</v>
      </c>
      <c r="D734">
        <f>YEAR(SalesData[[#This Row],[Date]])</f>
        <v>2024</v>
      </c>
      <c r="E734" t="s">
        <v>364</v>
      </c>
      <c r="F734" t="s">
        <v>367</v>
      </c>
      <c r="G734" t="s">
        <v>433</v>
      </c>
      <c r="H734" t="s">
        <v>474</v>
      </c>
      <c r="I734">
        <v>1261</v>
      </c>
      <c r="J734">
        <v>1.37</v>
      </c>
      <c r="K734">
        <v>1727.57</v>
      </c>
      <c r="L734">
        <v>1.1399999999999999</v>
      </c>
      <c r="M734">
        <v>1437.54</v>
      </c>
      <c r="N734">
        <v>290.02999999999997</v>
      </c>
    </row>
    <row r="735" spans="1:14" x14ac:dyDescent="0.25">
      <c r="A735">
        <v>734</v>
      </c>
      <c r="B735" t="s">
        <v>328</v>
      </c>
      <c r="C735" t="str">
        <f t="shared" si="11"/>
        <v>Aug</v>
      </c>
      <c r="D735">
        <f>YEAR(SalesData[[#This Row],[Date]])</f>
        <v>2024</v>
      </c>
      <c r="E735" t="s">
        <v>364</v>
      </c>
      <c r="F735" t="s">
        <v>367</v>
      </c>
      <c r="G735" t="s">
        <v>428</v>
      </c>
      <c r="H735" t="s">
        <v>473</v>
      </c>
      <c r="I735">
        <v>4354</v>
      </c>
      <c r="J735">
        <v>0.96</v>
      </c>
      <c r="K735">
        <v>4179.84</v>
      </c>
      <c r="L735">
        <v>0.63</v>
      </c>
      <c r="M735">
        <v>2743.02</v>
      </c>
      <c r="N735">
        <v>1436.82</v>
      </c>
    </row>
    <row r="736" spans="1:14" x14ac:dyDescent="0.25">
      <c r="A736">
        <v>735</v>
      </c>
      <c r="B736" t="s">
        <v>301</v>
      </c>
      <c r="C736" t="str">
        <f t="shared" si="11"/>
        <v>Nov</v>
      </c>
      <c r="D736">
        <f>YEAR(SalesData[[#This Row],[Date]])</f>
        <v>2024</v>
      </c>
      <c r="E736" t="s">
        <v>365</v>
      </c>
      <c r="F736" t="s">
        <v>370</v>
      </c>
      <c r="G736" t="s">
        <v>455</v>
      </c>
      <c r="H736" t="s">
        <v>480</v>
      </c>
      <c r="I736">
        <v>3206</v>
      </c>
      <c r="J736">
        <v>1.35</v>
      </c>
      <c r="K736">
        <v>4328.1000000000004</v>
      </c>
      <c r="L736">
        <v>1.1100000000000001</v>
      </c>
      <c r="M736">
        <v>3558.66</v>
      </c>
      <c r="N736">
        <v>769.44</v>
      </c>
    </row>
    <row r="737" spans="1:14" x14ac:dyDescent="0.25">
      <c r="A737">
        <v>736</v>
      </c>
      <c r="B737" t="s">
        <v>134</v>
      </c>
      <c r="C737" t="str">
        <f t="shared" si="11"/>
        <v>Aug</v>
      </c>
      <c r="D737">
        <f>YEAR(SalesData[[#This Row],[Date]])</f>
        <v>2024</v>
      </c>
      <c r="E737" t="s">
        <v>363</v>
      </c>
      <c r="F737" t="s">
        <v>369</v>
      </c>
      <c r="G737" t="s">
        <v>458</v>
      </c>
      <c r="H737" t="s">
        <v>483</v>
      </c>
      <c r="I737">
        <v>1424</v>
      </c>
      <c r="J737">
        <v>1.05</v>
      </c>
      <c r="K737">
        <v>1495.2</v>
      </c>
      <c r="L737">
        <v>0.75</v>
      </c>
      <c r="M737">
        <v>1068</v>
      </c>
      <c r="N737">
        <v>427.2</v>
      </c>
    </row>
    <row r="738" spans="1:14" x14ac:dyDescent="0.25">
      <c r="A738">
        <v>737</v>
      </c>
      <c r="B738" t="s">
        <v>341</v>
      </c>
      <c r="C738" t="str">
        <f t="shared" si="11"/>
        <v>Mar</v>
      </c>
      <c r="D738">
        <f>YEAR(SalesData[[#This Row],[Date]])</f>
        <v>2024</v>
      </c>
      <c r="E738" t="s">
        <v>365</v>
      </c>
      <c r="F738" t="s">
        <v>370</v>
      </c>
      <c r="G738" t="s">
        <v>444</v>
      </c>
      <c r="H738" t="s">
        <v>479</v>
      </c>
      <c r="I738">
        <v>1543</v>
      </c>
      <c r="J738">
        <v>1.1599999999999999</v>
      </c>
      <c r="K738">
        <v>1789.88</v>
      </c>
      <c r="L738">
        <v>0.81</v>
      </c>
      <c r="M738">
        <v>1249.83</v>
      </c>
      <c r="N738">
        <v>540.04999999999995</v>
      </c>
    </row>
    <row r="739" spans="1:14" x14ac:dyDescent="0.25">
      <c r="A739">
        <v>738</v>
      </c>
      <c r="B739" t="s">
        <v>164</v>
      </c>
      <c r="C739" t="str">
        <f t="shared" si="11"/>
        <v>Dec</v>
      </c>
      <c r="D739">
        <f>YEAR(SalesData[[#This Row],[Date]])</f>
        <v>2024</v>
      </c>
      <c r="E739" t="s">
        <v>365</v>
      </c>
      <c r="F739" t="s">
        <v>367</v>
      </c>
      <c r="G739" t="s">
        <v>421</v>
      </c>
      <c r="H739" t="s">
        <v>486</v>
      </c>
      <c r="I739">
        <v>2974</v>
      </c>
      <c r="J739">
        <v>1.17</v>
      </c>
      <c r="K739">
        <v>3479.58</v>
      </c>
      <c r="L739">
        <v>0.82</v>
      </c>
      <c r="M739">
        <v>2438.6799999999998</v>
      </c>
      <c r="N739">
        <v>1040.9000000000001</v>
      </c>
    </row>
    <row r="740" spans="1:14" x14ac:dyDescent="0.25">
      <c r="A740">
        <v>739</v>
      </c>
      <c r="B740" t="s">
        <v>299</v>
      </c>
      <c r="C740" t="str">
        <f t="shared" si="11"/>
        <v>Jul</v>
      </c>
      <c r="D740">
        <f>YEAR(SalesData[[#This Row],[Date]])</f>
        <v>2024</v>
      </c>
      <c r="E740" t="s">
        <v>366</v>
      </c>
      <c r="F740" t="s">
        <v>368</v>
      </c>
      <c r="G740" t="s">
        <v>385</v>
      </c>
      <c r="H740" t="s">
        <v>480</v>
      </c>
      <c r="I740">
        <v>4451</v>
      </c>
      <c r="J740">
        <v>1.07</v>
      </c>
      <c r="K740">
        <v>4762.57</v>
      </c>
      <c r="L740">
        <v>0.73</v>
      </c>
      <c r="M740">
        <v>3249.23</v>
      </c>
      <c r="N740">
        <v>1513.34</v>
      </c>
    </row>
    <row r="741" spans="1:14" x14ac:dyDescent="0.25">
      <c r="A741">
        <v>740</v>
      </c>
      <c r="B741" t="s">
        <v>342</v>
      </c>
      <c r="C741" t="str">
        <f t="shared" si="11"/>
        <v>Dec</v>
      </c>
      <c r="D741">
        <f>YEAR(SalesData[[#This Row],[Date]])</f>
        <v>2024</v>
      </c>
      <c r="E741" t="s">
        <v>364</v>
      </c>
      <c r="F741" t="s">
        <v>369</v>
      </c>
      <c r="G741" t="s">
        <v>433</v>
      </c>
      <c r="H741" t="s">
        <v>487</v>
      </c>
      <c r="I741">
        <v>4960</v>
      </c>
      <c r="J741">
        <v>1.29</v>
      </c>
      <c r="K741">
        <v>6398.4</v>
      </c>
      <c r="L741">
        <v>0.83</v>
      </c>
      <c r="M741">
        <v>4116.8</v>
      </c>
      <c r="N741">
        <v>2281.6</v>
      </c>
    </row>
    <row r="742" spans="1:14" x14ac:dyDescent="0.25">
      <c r="A742">
        <v>741</v>
      </c>
      <c r="B742" t="s">
        <v>207</v>
      </c>
      <c r="C742" t="str">
        <f t="shared" si="11"/>
        <v>Dec</v>
      </c>
      <c r="D742">
        <f>YEAR(SalesData[[#This Row],[Date]])</f>
        <v>2024</v>
      </c>
      <c r="E742" t="s">
        <v>364</v>
      </c>
      <c r="F742" t="s">
        <v>367</v>
      </c>
      <c r="G742" t="s">
        <v>409</v>
      </c>
      <c r="H742" t="s">
        <v>479</v>
      </c>
      <c r="I742">
        <v>4292</v>
      </c>
      <c r="J742">
        <v>1.03</v>
      </c>
      <c r="K742">
        <v>4420.76</v>
      </c>
      <c r="L742">
        <v>0.64</v>
      </c>
      <c r="M742">
        <v>2746.88</v>
      </c>
      <c r="N742">
        <v>1673.88</v>
      </c>
    </row>
    <row r="743" spans="1:14" x14ac:dyDescent="0.25">
      <c r="A743">
        <v>742</v>
      </c>
      <c r="B743" t="s">
        <v>256</v>
      </c>
      <c r="C743" t="str">
        <f t="shared" si="11"/>
        <v>Aug</v>
      </c>
      <c r="D743">
        <f>YEAR(SalesData[[#This Row],[Date]])</f>
        <v>2024</v>
      </c>
      <c r="E743" t="s">
        <v>365</v>
      </c>
      <c r="F743" t="s">
        <v>368</v>
      </c>
      <c r="G743" t="s">
        <v>413</v>
      </c>
      <c r="H743" t="s">
        <v>486</v>
      </c>
      <c r="I743">
        <v>1390</v>
      </c>
      <c r="J743">
        <v>1.28</v>
      </c>
      <c r="K743">
        <v>1779.2</v>
      </c>
      <c r="L743">
        <v>0.96</v>
      </c>
      <c r="M743">
        <v>1334.4</v>
      </c>
      <c r="N743">
        <v>444.8</v>
      </c>
    </row>
    <row r="744" spans="1:14" x14ac:dyDescent="0.25">
      <c r="A744">
        <v>743</v>
      </c>
      <c r="B744" t="s">
        <v>79</v>
      </c>
      <c r="C744" t="str">
        <f t="shared" si="11"/>
        <v>Jul</v>
      </c>
      <c r="D744">
        <f>YEAR(SalesData[[#This Row],[Date]])</f>
        <v>2024</v>
      </c>
      <c r="E744" t="s">
        <v>364</v>
      </c>
      <c r="F744" t="s">
        <v>370</v>
      </c>
      <c r="G744" t="s">
        <v>431</v>
      </c>
      <c r="H744" t="s">
        <v>478</v>
      </c>
      <c r="I744">
        <v>1241</v>
      </c>
      <c r="J744">
        <v>0.95</v>
      </c>
      <c r="K744">
        <v>1178.95</v>
      </c>
      <c r="L744">
        <v>0.6</v>
      </c>
      <c r="M744">
        <v>744.6</v>
      </c>
      <c r="N744">
        <v>434.35</v>
      </c>
    </row>
    <row r="745" spans="1:14" x14ac:dyDescent="0.25">
      <c r="A745">
        <v>744</v>
      </c>
      <c r="B745" t="s">
        <v>343</v>
      </c>
      <c r="C745" t="str">
        <f t="shared" si="11"/>
        <v>Oct</v>
      </c>
      <c r="D745">
        <f>YEAR(SalesData[[#This Row],[Date]])</f>
        <v>2024</v>
      </c>
      <c r="E745" t="s">
        <v>366</v>
      </c>
      <c r="F745" t="s">
        <v>367</v>
      </c>
      <c r="G745" t="s">
        <v>389</v>
      </c>
      <c r="H745" t="s">
        <v>474</v>
      </c>
      <c r="I745">
        <v>4210</v>
      </c>
      <c r="J745">
        <v>1.17</v>
      </c>
      <c r="K745">
        <v>4925.7</v>
      </c>
      <c r="L745">
        <v>0.82</v>
      </c>
      <c r="M745">
        <v>3452.2</v>
      </c>
      <c r="N745">
        <v>1473.5</v>
      </c>
    </row>
    <row r="746" spans="1:14" x14ac:dyDescent="0.25">
      <c r="A746">
        <v>745</v>
      </c>
      <c r="B746" t="s">
        <v>278</v>
      </c>
      <c r="C746" t="str">
        <f t="shared" si="11"/>
        <v>Oct</v>
      </c>
      <c r="D746">
        <f>YEAR(SalesData[[#This Row],[Date]])</f>
        <v>2024</v>
      </c>
      <c r="E746" t="s">
        <v>366</v>
      </c>
      <c r="F746" t="s">
        <v>369</v>
      </c>
      <c r="G746" t="s">
        <v>439</v>
      </c>
      <c r="H746" t="s">
        <v>487</v>
      </c>
      <c r="I746">
        <v>2955</v>
      </c>
      <c r="J746">
        <v>1.2</v>
      </c>
      <c r="K746">
        <v>3546</v>
      </c>
      <c r="L746">
        <v>0.99</v>
      </c>
      <c r="M746">
        <v>2925.45</v>
      </c>
      <c r="N746">
        <v>620.54999999999995</v>
      </c>
    </row>
    <row r="747" spans="1:14" x14ac:dyDescent="0.25">
      <c r="A747">
        <v>746</v>
      </c>
      <c r="B747" t="s">
        <v>104</v>
      </c>
      <c r="C747" t="str">
        <f t="shared" si="11"/>
        <v>Jun</v>
      </c>
      <c r="D747">
        <f>YEAR(SalesData[[#This Row],[Date]])</f>
        <v>2024</v>
      </c>
      <c r="E747" t="s">
        <v>365</v>
      </c>
      <c r="F747" t="s">
        <v>369</v>
      </c>
      <c r="G747" t="s">
        <v>437</v>
      </c>
      <c r="H747" t="s">
        <v>479</v>
      </c>
      <c r="I747">
        <v>566</v>
      </c>
      <c r="J747">
        <v>1.23</v>
      </c>
      <c r="K747">
        <v>696.18</v>
      </c>
      <c r="L747">
        <v>0.89</v>
      </c>
      <c r="M747">
        <v>503.74</v>
      </c>
      <c r="N747">
        <v>192.44</v>
      </c>
    </row>
    <row r="748" spans="1:14" x14ac:dyDescent="0.25">
      <c r="A748">
        <v>747</v>
      </c>
      <c r="B748" t="s">
        <v>63</v>
      </c>
      <c r="C748" t="str">
        <f t="shared" si="11"/>
        <v>Mar</v>
      </c>
      <c r="D748">
        <f>YEAR(SalesData[[#This Row],[Date]])</f>
        <v>2024</v>
      </c>
      <c r="E748" t="s">
        <v>363</v>
      </c>
      <c r="F748" t="s">
        <v>370</v>
      </c>
      <c r="G748" t="s">
        <v>466</v>
      </c>
      <c r="H748" t="s">
        <v>476</v>
      </c>
      <c r="I748">
        <v>935</v>
      </c>
      <c r="J748">
        <v>0.8</v>
      </c>
      <c r="K748">
        <v>748</v>
      </c>
      <c r="L748">
        <v>0.59</v>
      </c>
      <c r="M748">
        <v>551.65</v>
      </c>
      <c r="N748">
        <v>196.35</v>
      </c>
    </row>
    <row r="749" spans="1:14" x14ac:dyDescent="0.25">
      <c r="A749">
        <v>748</v>
      </c>
      <c r="B749" t="s">
        <v>306</v>
      </c>
      <c r="C749" t="str">
        <f t="shared" si="11"/>
        <v>Jul</v>
      </c>
      <c r="D749">
        <f>YEAR(SalesData[[#This Row],[Date]])</f>
        <v>2024</v>
      </c>
      <c r="E749" t="s">
        <v>365</v>
      </c>
      <c r="F749" t="s">
        <v>367</v>
      </c>
      <c r="G749" t="s">
        <v>435</v>
      </c>
      <c r="H749" t="s">
        <v>477</v>
      </c>
      <c r="I749">
        <v>4036</v>
      </c>
      <c r="J749">
        <v>1.29</v>
      </c>
      <c r="K749">
        <v>5206.4399999999996</v>
      </c>
      <c r="L749">
        <v>0.9</v>
      </c>
      <c r="M749">
        <v>3632.4</v>
      </c>
      <c r="N749">
        <v>1574.04</v>
      </c>
    </row>
    <row r="750" spans="1:14" x14ac:dyDescent="0.25">
      <c r="A750">
        <v>749</v>
      </c>
      <c r="B750" t="s">
        <v>335</v>
      </c>
      <c r="C750" t="str">
        <f t="shared" si="11"/>
        <v>Jun</v>
      </c>
      <c r="D750">
        <f>YEAR(SalesData[[#This Row],[Date]])</f>
        <v>2024</v>
      </c>
      <c r="E750" t="s">
        <v>364</v>
      </c>
      <c r="F750" t="s">
        <v>369</v>
      </c>
      <c r="G750" t="s">
        <v>464</v>
      </c>
      <c r="H750" t="s">
        <v>481</v>
      </c>
      <c r="I750">
        <v>4965</v>
      </c>
      <c r="J750">
        <v>0.95</v>
      </c>
      <c r="K750">
        <v>4716.75</v>
      </c>
      <c r="L750">
        <v>0.61</v>
      </c>
      <c r="M750">
        <v>3028.65</v>
      </c>
      <c r="N750">
        <v>1688.1</v>
      </c>
    </row>
    <row r="751" spans="1:14" x14ac:dyDescent="0.25">
      <c r="A751">
        <v>750</v>
      </c>
      <c r="B751" t="s">
        <v>165</v>
      </c>
      <c r="C751" t="str">
        <f t="shared" si="11"/>
        <v>Mar</v>
      </c>
      <c r="D751">
        <f>YEAR(SalesData[[#This Row],[Date]])</f>
        <v>2024</v>
      </c>
      <c r="E751" t="s">
        <v>364</v>
      </c>
      <c r="F751" t="s">
        <v>368</v>
      </c>
      <c r="G751" t="s">
        <v>383</v>
      </c>
      <c r="H751" t="s">
        <v>481</v>
      </c>
      <c r="I751">
        <v>1763</v>
      </c>
      <c r="J751">
        <v>1</v>
      </c>
      <c r="K751">
        <v>1763</v>
      </c>
      <c r="L751">
        <v>0.82</v>
      </c>
      <c r="M751">
        <v>1445.66</v>
      </c>
      <c r="N751">
        <v>317.33999999999997</v>
      </c>
    </row>
    <row r="752" spans="1:14" x14ac:dyDescent="0.25">
      <c r="A752">
        <v>751</v>
      </c>
      <c r="B752" t="s">
        <v>135</v>
      </c>
      <c r="C752" t="str">
        <f t="shared" si="11"/>
        <v>Mar</v>
      </c>
      <c r="D752">
        <f>YEAR(SalesData[[#This Row],[Date]])</f>
        <v>2024</v>
      </c>
      <c r="E752" t="s">
        <v>363</v>
      </c>
      <c r="F752" t="s">
        <v>368</v>
      </c>
      <c r="G752" t="s">
        <v>392</v>
      </c>
      <c r="H752" t="s">
        <v>472</v>
      </c>
      <c r="I752">
        <v>1679</v>
      </c>
      <c r="J752">
        <v>1.3</v>
      </c>
      <c r="K752">
        <v>2182.6999999999998</v>
      </c>
      <c r="L752">
        <v>0.94</v>
      </c>
      <c r="M752">
        <v>1578.26</v>
      </c>
      <c r="N752">
        <v>604.44000000000005</v>
      </c>
    </row>
    <row r="753" spans="1:14" x14ac:dyDescent="0.25">
      <c r="A753">
        <v>752</v>
      </c>
      <c r="B753" t="s">
        <v>60</v>
      </c>
      <c r="C753" t="str">
        <f t="shared" si="11"/>
        <v>Aug</v>
      </c>
      <c r="D753">
        <f>YEAR(SalesData[[#This Row],[Date]])</f>
        <v>2024</v>
      </c>
      <c r="E753" t="s">
        <v>363</v>
      </c>
      <c r="F753" t="s">
        <v>368</v>
      </c>
      <c r="G753" t="s">
        <v>457</v>
      </c>
      <c r="H753" t="s">
        <v>481</v>
      </c>
      <c r="I753">
        <v>4235</v>
      </c>
      <c r="J753">
        <v>1.43</v>
      </c>
      <c r="K753">
        <v>6056.05</v>
      </c>
      <c r="L753">
        <v>1.1100000000000001</v>
      </c>
      <c r="M753">
        <v>4700.8500000000004</v>
      </c>
      <c r="N753">
        <v>1355.2</v>
      </c>
    </row>
    <row r="754" spans="1:14" x14ac:dyDescent="0.25">
      <c r="A754">
        <v>753</v>
      </c>
      <c r="B754" t="s">
        <v>92</v>
      </c>
      <c r="C754" t="str">
        <f t="shared" si="11"/>
        <v>Aug</v>
      </c>
      <c r="D754">
        <f>YEAR(SalesData[[#This Row],[Date]])</f>
        <v>2024</v>
      </c>
      <c r="E754" t="s">
        <v>364</v>
      </c>
      <c r="F754" t="s">
        <v>368</v>
      </c>
      <c r="G754" t="s">
        <v>417</v>
      </c>
      <c r="H754" t="s">
        <v>481</v>
      </c>
      <c r="I754">
        <v>4186</v>
      </c>
      <c r="J754">
        <v>1.07</v>
      </c>
      <c r="K754">
        <v>4479.0200000000004</v>
      </c>
      <c r="L754">
        <v>0.7</v>
      </c>
      <c r="M754">
        <v>2930.2</v>
      </c>
      <c r="N754">
        <v>1548.82</v>
      </c>
    </row>
    <row r="755" spans="1:14" x14ac:dyDescent="0.25">
      <c r="A755">
        <v>754</v>
      </c>
      <c r="B755" t="s">
        <v>92</v>
      </c>
      <c r="C755" t="str">
        <f t="shared" si="11"/>
        <v>Aug</v>
      </c>
      <c r="D755">
        <f>YEAR(SalesData[[#This Row],[Date]])</f>
        <v>2024</v>
      </c>
      <c r="E755" t="s">
        <v>364</v>
      </c>
      <c r="F755" t="s">
        <v>367</v>
      </c>
      <c r="G755" t="s">
        <v>469</v>
      </c>
      <c r="H755" t="s">
        <v>477</v>
      </c>
      <c r="I755">
        <v>4610</v>
      </c>
      <c r="J755">
        <v>0.99</v>
      </c>
      <c r="K755">
        <v>4563.8999999999996</v>
      </c>
      <c r="L755">
        <v>0.82</v>
      </c>
      <c r="M755">
        <v>3780.2</v>
      </c>
      <c r="N755">
        <v>783.7</v>
      </c>
    </row>
    <row r="756" spans="1:14" x14ac:dyDescent="0.25">
      <c r="A756">
        <v>755</v>
      </c>
      <c r="B756" t="s">
        <v>278</v>
      </c>
      <c r="C756" t="str">
        <f t="shared" si="11"/>
        <v>Oct</v>
      </c>
      <c r="D756">
        <f>YEAR(SalesData[[#This Row],[Date]])</f>
        <v>2024</v>
      </c>
      <c r="E756" t="s">
        <v>363</v>
      </c>
      <c r="F756" t="s">
        <v>370</v>
      </c>
      <c r="G756" t="s">
        <v>372</v>
      </c>
      <c r="H756" t="s">
        <v>479</v>
      </c>
      <c r="I756">
        <v>4458</v>
      </c>
      <c r="J756">
        <v>1.29</v>
      </c>
      <c r="K756">
        <v>5750.82</v>
      </c>
      <c r="L756">
        <v>0.81</v>
      </c>
      <c r="M756">
        <v>3610.98</v>
      </c>
      <c r="N756">
        <v>2139.84</v>
      </c>
    </row>
    <row r="757" spans="1:14" x14ac:dyDescent="0.25">
      <c r="A757">
        <v>756</v>
      </c>
      <c r="B757" t="s">
        <v>291</v>
      </c>
      <c r="C757" t="str">
        <f t="shared" si="11"/>
        <v>Sep</v>
      </c>
      <c r="D757">
        <f>YEAR(SalesData[[#This Row],[Date]])</f>
        <v>2024</v>
      </c>
      <c r="E757" t="s">
        <v>366</v>
      </c>
      <c r="F757" t="s">
        <v>367</v>
      </c>
      <c r="G757" t="s">
        <v>469</v>
      </c>
      <c r="H757" t="s">
        <v>490</v>
      </c>
      <c r="I757">
        <v>2789</v>
      </c>
      <c r="J757">
        <v>1.1299999999999999</v>
      </c>
      <c r="K757">
        <v>3151.57</v>
      </c>
      <c r="L757">
        <v>0.7</v>
      </c>
      <c r="M757">
        <v>1952.3</v>
      </c>
      <c r="N757">
        <v>1199.27</v>
      </c>
    </row>
    <row r="758" spans="1:14" x14ac:dyDescent="0.25">
      <c r="A758">
        <v>757</v>
      </c>
      <c r="B758" t="s">
        <v>68</v>
      </c>
      <c r="C758" t="str">
        <f t="shared" si="11"/>
        <v>Nov</v>
      </c>
      <c r="D758">
        <f>YEAR(SalesData[[#This Row],[Date]])</f>
        <v>2024</v>
      </c>
      <c r="E758" t="s">
        <v>366</v>
      </c>
      <c r="F758" t="s">
        <v>367</v>
      </c>
      <c r="G758" t="s">
        <v>393</v>
      </c>
      <c r="H758" t="s">
        <v>486</v>
      </c>
      <c r="I758">
        <v>4917</v>
      </c>
      <c r="J758">
        <v>1.36</v>
      </c>
      <c r="K758">
        <v>6687.12</v>
      </c>
      <c r="L758">
        <v>0.92</v>
      </c>
      <c r="M758">
        <v>4523.6400000000003</v>
      </c>
      <c r="N758">
        <v>2163.48</v>
      </c>
    </row>
    <row r="759" spans="1:14" x14ac:dyDescent="0.25">
      <c r="A759">
        <v>758</v>
      </c>
      <c r="B759" t="s">
        <v>229</v>
      </c>
      <c r="C759" t="str">
        <f t="shared" si="11"/>
        <v>Jan</v>
      </c>
      <c r="D759">
        <f>YEAR(SalesData[[#This Row],[Date]])</f>
        <v>2024</v>
      </c>
      <c r="E759" t="s">
        <v>363</v>
      </c>
      <c r="F759" t="s">
        <v>370</v>
      </c>
      <c r="G759" t="s">
        <v>393</v>
      </c>
      <c r="H759" t="s">
        <v>473</v>
      </c>
      <c r="I759">
        <v>4699</v>
      </c>
      <c r="J759">
        <v>1.43</v>
      </c>
      <c r="K759">
        <v>6719.57</v>
      </c>
      <c r="L759">
        <v>1.06</v>
      </c>
      <c r="M759">
        <v>4980.9399999999996</v>
      </c>
      <c r="N759">
        <v>1738.63</v>
      </c>
    </row>
    <row r="760" spans="1:14" x14ac:dyDescent="0.25">
      <c r="A760">
        <v>759</v>
      </c>
      <c r="B760" t="s">
        <v>33</v>
      </c>
      <c r="C760" t="str">
        <f t="shared" si="11"/>
        <v>Jun</v>
      </c>
      <c r="D760">
        <f>YEAR(SalesData[[#This Row],[Date]])</f>
        <v>2024</v>
      </c>
      <c r="E760" t="s">
        <v>365</v>
      </c>
      <c r="F760" t="s">
        <v>369</v>
      </c>
      <c r="G760" t="s">
        <v>386</v>
      </c>
      <c r="H760" t="s">
        <v>482</v>
      </c>
      <c r="I760">
        <v>1872</v>
      </c>
      <c r="J760">
        <v>0.82</v>
      </c>
      <c r="K760">
        <v>1535.04</v>
      </c>
      <c r="L760">
        <v>0.68</v>
      </c>
      <c r="M760">
        <v>1272.96</v>
      </c>
      <c r="N760">
        <v>262.08</v>
      </c>
    </row>
    <row r="761" spans="1:14" x14ac:dyDescent="0.25">
      <c r="A761">
        <v>760</v>
      </c>
      <c r="B761" t="s">
        <v>104</v>
      </c>
      <c r="C761" t="str">
        <f t="shared" si="11"/>
        <v>Jun</v>
      </c>
      <c r="D761">
        <f>YEAR(SalesData[[#This Row],[Date]])</f>
        <v>2024</v>
      </c>
      <c r="E761" t="s">
        <v>363</v>
      </c>
      <c r="F761" t="s">
        <v>370</v>
      </c>
      <c r="G761" t="s">
        <v>384</v>
      </c>
      <c r="H761" t="s">
        <v>483</v>
      </c>
      <c r="I761">
        <v>1885</v>
      </c>
      <c r="J761">
        <v>1.2</v>
      </c>
      <c r="K761">
        <v>2262</v>
      </c>
      <c r="L761">
        <v>0.92</v>
      </c>
      <c r="M761">
        <v>1734.2</v>
      </c>
      <c r="N761">
        <v>527.79999999999995</v>
      </c>
    </row>
    <row r="762" spans="1:14" x14ac:dyDescent="0.25">
      <c r="A762">
        <v>761</v>
      </c>
      <c r="B762" t="s">
        <v>297</v>
      </c>
      <c r="C762" t="str">
        <f t="shared" si="11"/>
        <v>May</v>
      </c>
      <c r="D762">
        <f>YEAR(SalesData[[#This Row],[Date]])</f>
        <v>2024</v>
      </c>
      <c r="E762" t="s">
        <v>365</v>
      </c>
      <c r="F762" t="s">
        <v>367</v>
      </c>
      <c r="G762" t="s">
        <v>387</v>
      </c>
      <c r="H762" t="s">
        <v>486</v>
      </c>
      <c r="I762">
        <v>1538</v>
      </c>
      <c r="J762">
        <v>1.1499999999999999</v>
      </c>
      <c r="K762">
        <v>1768.7</v>
      </c>
      <c r="L762">
        <v>0.93</v>
      </c>
      <c r="M762">
        <v>1430.34</v>
      </c>
      <c r="N762">
        <v>338.36</v>
      </c>
    </row>
    <row r="763" spans="1:14" x14ac:dyDescent="0.25">
      <c r="A763">
        <v>762</v>
      </c>
      <c r="B763" t="s">
        <v>58</v>
      </c>
      <c r="C763" t="str">
        <f t="shared" si="11"/>
        <v>May</v>
      </c>
      <c r="D763">
        <f>YEAR(SalesData[[#This Row],[Date]])</f>
        <v>2024</v>
      </c>
      <c r="E763" t="s">
        <v>366</v>
      </c>
      <c r="F763" t="s">
        <v>370</v>
      </c>
      <c r="G763" t="s">
        <v>422</v>
      </c>
      <c r="H763" t="s">
        <v>471</v>
      </c>
      <c r="I763">
        <v>2754</v>
      </c>
      <c r="J763">
        <v>1.4</v>
      </c>
      <c r="K763">
        <v>3855.6</v>
      </c>
      <c r="L763">
        <v>0.84</v>
      </c>
      <c r="M763">
        <v>2313.36</v>
      </c>
      <c r="N763">
        <v>1542.24</v>
      </c>
    </row>
    <row r="764" spans="1:14" x14ac:dyDescent="0.25">
      <c r="A764">
        <v>763</v>
      </c>
      <c r="B764" t="s">
        <v>212</v>
      </c>
      <c r="C764" t="str">
        <f t="shared" si="11"/>
        <v>Feb</v>
      </c>
      <c r="D764">
        <f>YEAR(SalesData[[#This Row],[Date]])</f>
        <v>2024</v>
      </c>
      <c r="E764" t="s">
        <v>366</v>
      </c>
      <c r="F764" t="s">
        <v>368</v>
      </c>
      <c r="G764" t="s">
        <v>389</v>
      </c>
      <c r="H764" t="s">
        <v>473</v>
      </c>
      <c r="I764">
        <v>3529</v>
      </c>
      <c r="J764">
        <v>1.37</v>
      </c>
      <c r="K764">
        <v>4834.7299999999996</v>
      </c>
      <c r="L764">
        <v>0.91</v>
      </c>
      <c r="M764">
        <v>3211.39</v>
      </c>
      <c r="N764">
        <v>1623.34</v>
      </c>
    </row>
    <row r="765" spans="1:14" x14ac:dyDescent="0.25">
      <c r="A765">
        <v>764</v>
      </c>
      <c r="B765" t="s">
        <v>82</v>
      </c>
      <c r="C765" t="str">
        <f t="shared" si="11"/>
        <v>Dec</v>
      </c>
      <c r="D765">
        <f>YEAR(SalesData[[#This Row],[Date]])</f>
        <v>2024</v>
      </c>
      <c r="E765" t="s">
        <v>364</v>
      </c>
      <c r="F765" t="s">
        <v>368</v>
      </c>
      <c r="G765" t="s">
        <v>401</v>
      </c>
      <c r="H765" t="s">
        <v>490</v>
      </c>
      <c r="I765">
        <v>771</v>
      </c>
      <c r="J765">
        <v>1.04</v>
      </c>
      <c r="K765">
        <v>801.84</v>
      </c>
      <c r="L765">
        <v>0.65</v>
      </c>
      <c r="M765">
        <v>501.15</v>
      </c>
      <c r="N765">
        <v>300.69</v>
      </c>
    </row>
    <row r="766" spans="1:14" x14ac:dyDescent="0.25">
      <c r="A766">
        <v>765</v>
      </c>
      <c r="B766" t="s">
        <v>219</v>
      </c>
      <c r="C766" t="str">
        <f t="shared" si="11"/>
        <v>Mar</v>
      </c>
      <c r="D766">
        <f>YEAR(SalesData[[#This Row],[Date]])</f>
        <v>2024</v>
      </c>
      <c r="E766" t="s">
        <v>364</v>
      </c>
      <c r="F766" t="s">
        <v>368</v>
      </c>
      <c r="G766" t="s">
        <v>463</v>
      </c>
      <c r="H766" t="s">
        <v>481</v>
      </c>
      <c r="I766">
        <v>3638</v>
      </c>
      <c r="J766">
        <v>0.97</v>
      </c>
      <c r="K766">
        <v>3528.86</v>
      </c>
      <c r="L766">
        <v>0.69</v>
      </c>
      <c r="M766">
        <v>2510.2199999999998</v>
      </c>
      <c r="N766">
        <v>1018.64</v>
      </c>
    </row>
    <row r="767" spans="1:14" x14ac:dyDescent="0.25">
      <c r="A767">
        <v>766</v>
      </c>
      <c r="B767" t="s">
        <v>223</v>
      </c>
      <c r="C767" t="str">
        <f t="shared" si="11"/>
        <v>Nov</v>
      </c>
      <c r="D767">
        <f>YEAR(SalesData[[#This Row],[Date]])</f>
        <v>2024</v>
      </c>
      <c r="E767" t="s">
        <v>366</v>
      </c>
      <c r="F767" t="s">
        <v>368</v>
      </c>
      <c r="G767" t="s">
        <v>415</v>
      </c>
      <c r="H767" t="s">
        <v>475</v>
      </c>
      <c r="I767">
        <v>945</v>
      </c>
      <c r="J767">
        <v>1.25</v>
      </c>
      <c r="K767">
        <v>1181.25</v>
      </c>
      <c r="L767">
        <v>0.99</v>
      </c>
      <c r="M767">
        <v>935.55</v>
      </c>
      <c r="N767">
        <v>245.7</v>
      </c>
    </row>
    <row r="768" spans="1:14" x14ac:dyDescent="0.25">
      <c r="A768">
        <v>767</v>
      </c>
      <c r="B768" t="s">
        <v>339</v>
      </c>
      <c r="C768" t="str">
        <f t="shared" si="11"/>
        <v>Feb</v>
      </c>
      <c r="D768">
        <f>YEAR(SalesData[[#This Row],[Date]])</f>
        <v>2024</v>
      </c>
      <c r="E768" t="s">
        <v>366</v>
      </c>
      <c r="F768" t="s">
        <v>367</v>
      </c>
      <c r="G768" t="s">
        <v>394</v>
      </c>
      <c r="H768" t="s">
        <v>484</v>
      </c>
      <c r="I768">
        <v>4401</v>
      </c>
      <c r="J768">
        <v>1.01</v>
      </c>
      <c r="K768">
        <v>4445.01</v>
      </c>
      <c r="L768">
        <v>0.79</v>
      </c>
      <c r="M768">
        <v>3476.79</v>
      </c>
      <c r="N768">
        <v>968.22</v>
      </c>
    </row>
    <row r="769" spans="1:14" x14ac:dyDescent="0.25">
      <c r="A769">
        <v>768</v>
      </c>
      <c r="B769" t="s">
        <v>344</v>
      </c>
      <c r="C769" t="str">
        <f t="shared" si="11"/>
        <v>Sep</v>
      </c>
      <c r="D769">
        <f>YEAR(SalesData[[#This Row],[Date]])</f>
        <v>2024</v>
      </c>
      <c r="E769" t="s">
        <v>364</v>
      </c>
      <c r="F769" t="s">
        <v>368</v>
      </c>
      <c r="G769" t="s">
        <v>411</v>
      </c>
      <c r="H769" t="s">
        <v>484</v>
      </c>
      <c r="I769">
        <v>4387</v>
      </c>
      <c r="J769">
        <v>0.98</v>
      </c>
      <c r="K769">
        <v>4299.26</v>
      </c>
      <c r="L769">
        <v>0.72</v>
      </c>
      <c r="M769">
        <v>3158.64</v>
      </c>
      <c r="N769">
        <v>1140.6199999999999</v>
      </c>
    </row>
    <row r="770" spans="1:14" x14ac:dyDescent="0.25">
      <c r="A770">
        <v>769</v>
      </c>
      <c r="B770" t="s">
        <v>260</v>
      </c>
      <c r="C770" t="str">
        <f t="shared" ref="C770:C833" si="12">TEXT(B770,"mmm")</f>
        <v>Aug</v>
      </c>
      <c r="D770">
        <f>YEAR(SalesData[[#This Row],[Date]])</f>
        <v>2024</v>
      </c>
      <c r="E770" t="s">
        <v>365</v>
      </c>
      <c r="F770" t="s">
        <v>367</v>
      </c>
      <c r="G770" t="s">
        <v>434</v>
      </c>
      <c r="H770" t="s">
        <v>484</v>
      </c>
      <c r="I770">
        <v>3086</v>
      </c>
      <c r="J770">
        <v>1.47</v>
      </c>
      <c r="K770">
        <v>4536.42</v>
      </c>
      <c r="L770">
        <v>1.1299999999999999</v>
      </c>
      <c r="M770">
        <v>3487.18</v>
      </c>
      <c r="N770">
        <v>1049.24</v>
      </c>
    </row>
    <row r="771" spans="1:14" x14ac:dyDescent="0.25">
      <c r="A771">
        <v>770</v>
      </c>
      <c r="B771" t="s">
        <v>85</v>
      </c>
      <c r="C771" t="str">
        <f t="shared" si="12"/>
        <v>Jan</v>
      </c>
      <c r="D771">
        <f>YEAR(SalesData[[#This Row],[Date]])</f>
        <v>2024</v>
      </c>
      <c r="E771" t="s">
        <v>365</v>
      </c>
      <c r="F771" t="s">
        <v>367</v>
      </c>
      <c r="G771" t="s">
        <v>416</v>
      </c>
      <c r="H771" t="s">
        <v>489</v>
      </c>
      <c r="I771">
        <v>2733</v>
      </c>
      <c r="J771">
        <v>1.03</v>
      </c>
      <c r="K771">
        <v>2814.99</v>
      </c>
      <c r="L771">
        <v>0.69</v>
      </c>
      <c r="M771">
        <v>1885.77</v>
      </c>
      <c r="N771">
        <v>929.22</v>
      </c>
    </row>
    <row r="772" spans="1:14" x14ac:dyDescent="0.25">
      <c r="A772">
        <v>771</v>
      </c>
      <c r="B772" t="s">
        <v>330</v>
      </c>
      <c r="C772" t="str">
        <f t="shared" si="12"/>
        <v>Feb</v>
      </c>
      <c r="D772">
        <f>YEAR(SalesData[[#This Row],[Date]])</f>
        <v>2024</v>
      </c>
      <c r="E772" t="s">
        <v>364</v>
      </c>
      <c r="F772" t="s">
        <v>370</v>
      </c>
      <c r="G772" t="s">
        <v>394</v>
      </c>
      <c r="H772" t="s">
        <v>477</v>
      </c>
      <c r="I772">
        <v>2096</v>
      </c>
      <c r="J772">
        <v>1.1599999999999999</v>
      </c>
      <c r="K772">
        <v>2431.36</v>
      </c>
      <c r="L772">
        <v>0.89</v>
      </c>
      <c r="M772">
        <v>1865.44</v>
      </c>
      <c r="N772">
        <v>565.91999999999996</v>
      </c>
    </row>
    <row r="773" spans="1:14" x14ac:dyDescent="0.25">
      <c r="A773">
        <v>772</v>
      </c>
      <c r="B773" t="s">
        <v>121</v>
      </c>
      <c r="C773" t="str">
        <f t="shared" si="12"/>
        <v>Apr</v>
      </c>
      <c r="D773">
        <f>YEAR(SalesData[[#This Row],[Date]])</f>
        <v>2024</v>
      </c>
      <c r="E773" t="s">
        <v>363</v>
      </c>
      <c r="F773" t="s">
        <v>370</v>
      </c>
      <c r="G773" t="s">
        <v>414</v>
      </c>
      <c r="H773" t="s">
        <v>472</v>
      </c>
      <c r="I773">
        <v>1056</v>
      </c>
      <c r="J773">
        <v>0.81</v>
      </c>
      <c r="K773">
        <v>855.36</v>
      </c>
      <c r="L773">
        <v>0.51</v>
      </c>
      <c r="M773">
        <v>538.55999999999995</v>
      </c>
      <c r="N773">
        <v>316.8</v>
      </c>
    </row>
    <row r="774" spans="1:14" x14ac:dyDescent="0.25">
      <c r="A774">
        <v>773</v>
      </c>
      <c r="B774" t="s">
        <v>279</v>
      </c>
      <c r="C774" t="str">
        <f t="shared" si="12"/>
        <v>Feb</v>
      </c>
      <c r="D774">
        <f>YEAR(SalesData[[#This Row],[Date]])</f>
        <v>2024</v>
      </c>
      <c r="E774" t="s">
        <v>365</v>
      </c>
      <c r="F774" t="s">
        <v>369</v>
      </c>
      <c r="G774" t="s">
        <v>373</v>
      </c>
      <c r="H774" t="s">
        <v>482</v>
      </c>
      <c r="I774">
        <v>2563</v>
      </c>
      <c r="J774">
        <v>0.94</v>
      </c>
      <c r="K774">
        <v>2409.2199999999998</v>
      </c>
      <c r="L774">
        <v>0.56999999999999995</v>
      </c>
      <c r="M774">
        <v>1460.91</v>
      </c>
      <c r="N774">
        <v>948.31</v>
      </c>
    </row>
    <row r="775" spans="1:14" x14ac:dyDescent="0.25">
      <c r="A775">
        <v>774</v>
      </c>
      <c r="B775" t="s">
        <v>16</v>
      </c>
      <c r="C775" t="str">
        <f t="shared" si="12"/>
        <v>Feb</v>
      </c>
      <c r="D775">
        <f>YEAR(SalesData[[#This Row],[Date]])</f>
        <v>2024</v>
      </c>
      <c r="E775" t="s">
        <v>366</v>
      </c>
      <c r="F775" t="s">
        <v>367</v>
      </c>
      <c r="G775" t="s">
        <v>448</v>
      </c>
      <c r="H775" t="s">
        <v>488</v>
      </c>
      <c r="I775">
        <v>1482</v>
      </c>
      <c r="J775">
        <v>0.86</v>
      </c>
      <c r="K775">
        <v>1274.52</v>
      </c>
      <c r="L775">
        <v>0.65</v>
      </c>
      <c r="M775">
        <v>963.3</v>
      </c>
      <c r="N775">
        <v>311.22000000000003</v>
      </c>
    </row>
    <row r="776" spans="1:14" x14ac:dyDescent="0.25">
      <c r="A776">
        <v>775</v>
      </c>
      <c r="B776" t="s">
        <v>200</v>
      </c>
      <c r="C776" t="str">
        <f t="shared" si="12"/>
        <v>Jul</v>
      </c>
      <c r="D776">
        <f>YEAR(SalesData[[#This Row],[Date]])</f>
        <v>2024</v>
      </c>
      <c r="E776" t="s">
        <v>363</v>
      </c>
      <c r="F776" t="s">
        <v>368</v>
      </c>
      <c r="G776" t="s">
        <v>429</v>
      </c>
      <c r="H776" t="s">
        <v>480</v>
      </c>
      <c r="I776">
        <v>2575</v>
      </c>
      <c r="J776">
        <v>1.01</v>
      </c>
      <c r="K776">
        <v>2600.75</v>
      </c>
      <c r="L776">
        <v>0.77</v>
      </c>
      <c r="M776">
        <v>1982.75</v>
      </c>
      <c r="N776">
        <v>618</v>
      </c>
    </row>
    <row r="777" spans="1:14" x14ac:dyDescent="0.25">
      <c r="A777">
        <v>776</v>
      </c>
      <c r="B777" t="s">
        <v>84</v>
      </c>
      <c r="C777" t="str">
        <f t="shared" si="12"/>
        <v>Feb</v>
      </c>
      <c r="D777">
        <f>YEAR(SalesData[[#This Row],[Date]])</f>
        <v>2024</v>
      </c>
      <c r="E777" t="s">
        <v>365</v>
      </c>
      <c r="F777" t="s">
        <v>369</v>
      </c>
      <c r="G777" t="s">
        <v>380</v>
      </c>
      <c r="H777" t="s">
        <v>481</v>
      </c>
      <c r="I777">
        <v>3149</v>
      </c>
      <c r="J777">
        <v>0.98</v>
      </c>
      <c r="K777">
        <v>3086.02</v>
      </c>
      <c r="L777">
        <v>0.78</v>
      </c>
      <c r="M777">
        <v>2456.2199999999998</v>
      </c>
      <c r="N777">
        <v>629.79999999999995</v>
      </c>
    </row>
    <row r="778" spans="1:14" x14ac:dyDescent="0.25">
      <c r="A778">
        <v>777</v>
      </c>
      <c r="B778" t="s">
        <v>94</v>
      </c>
      <c r="C778" t="str">
        <f t="shared" si="12"/>
        <v>May</v>
      </c>
      <c r="D778">
        <f>YEAR(SalesData[[#This Row],[Date]])</f>
        <v>2024</v>
      </c>
      <c r="E778" t="s">
        <v>364</v>
      </c>
      <c r="F778" t="s">
        <v>367</v>
      </c>
      <c r="G778" t="s">
        <v>440</v>
      </c>
      <c r="H778" t="s">
        <v>487</v>
      </c>
      <c r="I778">
        <v>992</v>
      </c>
      <c r="J778">
        <v>0.98</v>
      </c>
      <c r="K778">
        <v>972.16</v>
      </c>
      <c r="L778">
        <v>0.79</v>
      </c>
      <c r="M778">
        <v>783.68</v>
      </c>
      <c r="N778">
        <v>188.48</v>
      </c>
    </row>
    <row r="779" spans="1:14" x14ac:dyDescent="0.25">
      <c r="A779">
        <v>778</v>
      </c>
      <c r="B779" t="s">
        <v>345</v>
      </c>
      <c r="C779" t="str">
        <f t="shared" si="12"/>
        <v>Apr</v>
      </c>
      <c r="D779">
        <f>YEAR(SalesData[[#This Row],[Date]])</f>
        <v>2024</v>
      </c>
      <c r="E779" t="s">
        <v>363</v>
      </c>
      <c r="F779" t="s">
        <v>369</v>
      </c>
      <c r="G779" t="s">
        <v>387</v>
      </c>
      <c r="H779" t="s">
        <v>485</v>
      </c>
      <c r="I779">
        <v>3716</v>
      </c>
      <c r="J779">
        <v>0.92</v>
      </c>
      <c r="K779">
        <v>3418.72</v>
      </c>
      <c r="L779">
        <v>0.67</v>
      </c>
      <c r="M779">
        <v>2489.7199999999998</v>
      </c>
      <c r="N779">
        <v>929</v>
      </c>
    </row>
    <row r="780" spans="1:14" x14ac:dyDescent="0.25">
      <c r="A780">
        <v>779</v>
      </c>
      <c r="B780" t="s">
        <v>282</v>
      </c>
      <c r="C780" t="str">
        <f t="shared" si="12"/>
        <v>Mar</v>
      </c>
      <c r="D780">
        <f>YEAR(SalesData[[#This Row],[Date]])</f>
        <v>2024</v>
      </c>
      <c r="E780" t="s">
        <v>366</v>
      </c>
      <c r="F780" t="s">
        <v>369</v>
      </c>
      <c r="G780" t="s">
        <v>422</v>
      </c>
      <c r="H780" t="s">
        <v>488</v>
      </c>
      <c r="I780">
        <v>4117</v>
      </c>
      <c r="J780">
        <v>1.3</v>
      </c>
      <c r="K780">
        <v>5352.1</v>
      </c>
      <c r="L780">
        <v>0.81</v>
      </c>
      <c r="M780">
        <v>3334.77</v>
      </c>
      <c r="N780">
        <v>2017.33</v>
      </c>
    </row>
    <row r="781" spans="1:14" x14ac:dyDescent="0.25">
      <c r="A781">
        <v>780</v>
      </c>
      <c r="B781" t="s">
        <v>346</v>
      </c>
      <c r="C781" t="str">
        <f t="shared" si="12"/>
        <v>Feb</v>
      </c>
      <c r="D781">
        <f>YEAR(SalesData[[#This Row],[Date]])</f>
        <v>2024</v>
      </c>
      <c r="E781" t="s">
        <v>365</v>
      </c>
      <c r="F781" t="s">
        <v>367</v>
      </c>
      <c r="G781" t="s">
        <v>427</v>
      </c>
      <c r="H781" t="s">
        <v>473</v>
      </c>
      <c r="I781">
        <v>653</v>
      </c>
      <c r="J781">
        <v>1.43</v>
      </c>
      <c r="K781">
        <v>933.79</v>
      </c>
      <c r="L781">
        <v>0.91</v>
      </c>
      <c r="M781">
        <v>594.23</v>
      </c>
      <c r="N781">
        <v>339.56</v>
      </c>
    </row>
    <row r="782" spans="1:14" x14ac:dyDescent="0.25">
      <c r="A782">
        <v>781</v>
      </c>
      <c r="B782" t="s">
        <v>12</v>
      </c>
      <c r="C782" t="str">
        <f t="shared" si="12"/>
        <v>Nov</v>
      </c>
      <c r="D782">
        <f>YEAR(SalesData[[#This Row],[Date]])</f>
        <v>2024</v>
      </c>
      <c r="E782" t="s">
        <v>363</v>
      </c>
      <c r="F782" t="s">
        <v>367</v>
      </c>
      <c r="G782" t="s">
        <v>403</v>
      </c>
      <c r="H782" t="s">
        <v>484</v>
      </c>
      <c r="I782">
        <v>2682</v>
      </c>
      <c r="J782">
        <v>0.91</v>
      </c>
      <c r="K782">
        <v>2440.62</v>
      </c>
      <c r="L782">
        <v>0.62</v>
      </c>
      <c r="M782">
        <v>1662.84</v>
      </c>
      <c r="N782">
        <v>777.78</v>
      </c>
    </row>
    <row r="783" spans="1:14" x14ac:dyDescent="0.25">
      <c r="A783">
        <v>782</v>
      </c>
      <c r="B783" t="s">
        <v>258</v>
      </c>
      <c r="C783" t="str">
        <f t="shared" si="12"/>
        <v>Jul</v>
      </c>
      <c r="D783">
        <f>YEAR(SalesData[[#This Row],[Date]])</f>
        <v>2024</v>
      </c>
      <c r="E783" t="s">
        <v>364</v>
      </c>
      <c r="F783" t="s">
        <v>367</v>
      </c>
      <c r="G783" t="s">
        <v>468</v>
      </c>
      <c r="H783" t="s">
        <v>481</v>
      </c>
      <c r="I783">
        <v>3808</v>
      </c>
      <c r="J783">
        <v>1.39</v>
      </c>
      <c r="K783">
        <v>5293.12</v>
      </c>
      <c r="L783">
        <v>1.1100000000000001</v>
      </c>
      <c r="M783">
        <v>4226.88</v>
      </c>
      <c r="N783">
        <v>1066.24</v>
      </c>
    </row>
    <row r="784" spans="1:14" x14ac:dyDescent="0.25">
      <c r="A784">
        <v>783</v>
      </c>
      <c r="B784" t="s">
        <v>29</v>
      </c>
      <c r="C784" t="str">
        <f t="shared" si="12"/>
        <v>Feb</v>
      </c>
      <c r="D784">
        <f>YEAR(SalesData[[#This Row],[Date]])</f>
        <v>2024</v>
      </c>
      <c r="E784" t="s">
        <v>363</v>
      </c>
      <c r="F784" t="s">
        <v>368</v>
      </c>
      <c r="G784" t="s">
        <v>440</v>
      </c>
      <c r="H784" t="s">
        <v>483</v>
      </c>
      <c r="I784">
        <v>1492</v>
      </c>
      <c r="J784">
        <v>1.2</v>
      </c>
      <c r="K784">
        <v>1790.4</v>
      </c>
      <c r="L784">
        <v>1</v>
      </c>
      <c r="M784">
        <v>1492</v>
      </c>
      <c r="N784">
        <v>298.39999999999998</v>
      </c>
    </row>
    <row r="785" spans="1:14" x14ac:dyDescent="0.25">
      <c r="A785">
        <v>784</v>
      </c>
      <c r="B785" t="s">
        <v>306</v>
      </c>
      <c r="C785" t="str">
        <f t="shared" si="12"/>
        <v>Jul</v>
      </c>
      <c r="D785">
        <f>YEAR(SalesData[[#This Row],[Date]])</f>
        <v>2024</v>
      </c>
      <c r="E785" t="s">
        <v>365</v>
      </c>
      <c r="F785" t="s">
        <v>370</v>
      </c>
      <c r="G785" t="s">
        <v>413</v>
      </c>
      <c r="H785" t="s">
        <v>478</v>
      </c>
      <c r="I785">
        <v>1242</v>
      </c>
      <c r="J785">
        <v>1.06</v>
      </c>
      <c r="K785">
        <v>1316.52</v>
      </c>
      <c r="L785">
        <v>0.86</v>
      </c>
      <c r="M785">
        <v>1068.1199999999999</v>
      </c>
      <c r="N785">
        <v>248.4</v>
      </c>
    </row>
    <row r="786" spans="1:14" x14ac:dyDescent="0.25">
      <c r="A786">
        <v>785</v>
      </c>
      <c r="B786" t="s">
        <v>315</v>
      </c>
      <c r="C786" t="str">
        <f t="shared" si="12"/>
        <v>Jun</v>
      </c>
      <c r="D786">
        <f>YEAR(SalesData[[#This Row],[Date]])</f>
        <v>2024</v>
      </c>
      <c r="E786" t="s">
        <v>364</v>
      </c>
      <c r="F786" t="s">
        <v>367</v>
      </c>
      <c r="G786" t="s">
        <v>424</v>
      </c>
      <c r="H786" t="s">
        <v>482</v>
      </c>
      <c r="I786">
        <v>2163</v>
      </c>
      <c r="J786">
        <v>0.92</v>
      </c>
      <c r="K786">
        <v>1989.96</v>
      </c>
      <c r="L786">
        <v>0.56000000000000005</v>
      </c>
      <c r="M786">
        <v>1211.28</v>
      </c>
      <c r="N786">
        <v>778.68</v>
      </c>
    </row>
    <row r="787" spans="1:14" x14ac:dyDescent="0.25">
      <c r="A787">
        <v>786</v>
      </c>
      <c r="B787" t="s">
        <v>179</v>
      </c>
      <c r="C787" t="str">
        <f t="shared" si="12"/>
        <v>Jul</v>
      </c>
      <c r="D787">
        <f>YEAR(SalesData[[#This Row],[Date]])</f>
        <v>2024</v>
      </c>
      <c r="E787" t="s">
        <v>365</v>
      </c>
      <c r="F787" t="s">
        <v>368</v>
      </c>
      <c r="G787" t="s">
        <v>429</v>
      </c>
      <c r="H787" t="s">
        <v>484</v>
      </c>
      <c r="I787">
        <v>1374</v>
      </c>
      <c r="J787">
        <v>1.24</v>
      </c>
      <c r="K787">
        <v>1703.76</v>
      </c>
      <c r="L787">
        <v>0.86</v>
      </c>
      <c r="M787">
        <v>1181.6400000000001</v>
      </c>
      <c r="N787">
        <v>522.12</v>
      </c>
    </row>
    <row r="788" spans="1:14" x14ac:dyDescent="0.25">
      <c r="A788">
        <v>787</v>
      </c>
      <c r="B788" t="s">
        <v>241</v>
      </c>
      <c r="C788" t="str">
        <f t="shared" si="12"/>
        <v>Feb</v>
      </c>
      <c r="D788">
        <f>YEAR(SalesData[[#This Row],[Date]])</f>
        <v>2024</v>
      </c>
      <c r="E788" t="s">
        <v>366</v>
      </c>
      <c r="F788" t="s">
        <v>369</v>
      </c>
      <c r="G788" t="s">
        <v>457</v>
      </c>
      <c r="H788" t="s">
        <v>478</v>
      </c>
      <c r="I788">
        <v>2081</v>
      </c>
      <c r="J788">
        <v>0.82</v>
      </c>
      <c r="K788">
        <v>1706.42</v>
      </c>
      <c r="L788">
        <v>0.7</v>
      </c>
      <c r="M788">
        <v>1456.7</v>
      </c>
      <c r="N788">
        <v>249.72</v>
      </c>
    </row>
    <row r="789" spans="1:14" x14ac:dyDescent="0.25">
      <c r="A789">
        <v>788</v>
      </c>
      <c r="B789" t="s">
        <v>246</v>
      </c>
      <c r="C789" t="str">
        <f t="shared" si="12"/>
        <v>May</v>
      </c>
      <c r="D789">
        <f>YEAR(SalesData[[#This Row],[Date]])</f>
        <v>2024</v>
      </c>
      <c r="E789" t="s">
        <v>364</v>
      </c>
      <c r="F789" t="s">
        <v>369</v>
      </c>
      <c r="G789" t="s">
        <v>458</v>
      </c>
      <c r="H789" t="s">
        <v>476</v>
      </c>
      <c r="I789">
        <v>3020</v>
      </c>
      <c r="J789">
        <v>1.1499999999999999</v>
      </c>
      <c r="K789">
        <v>3473</v>
      </c>
      <c r="L789">
        <v>0.97</v>
      </c>
      <c r="M789">
        <v>2929.4</v>
      </c>
      <c r="N789">
        <v>543.6</v>
      </c>
    </row>
    <row r="790" spans="1:14" x14ac:dyDescent="0.25">
      <c r="A790">
        <v>789</v>
      </c>
      <c r="B790" t="s">
        <v>154</v>
      </c>
      <c r="C790" t="str">
        <f t="shared" si="12"/>
        <v>Aug</v>
      </c>
      <c r="D790">
        <f>YEAR(SalesData[[#This Row],[Date]])</f>
        <v>2024</v>
      </c>
      <c r="E790" t="s">
        <v>363</v>
      </c>
      <c r="F790" t="s">
        <v>367</v>
      </c>
      <c r="G790" t="s">
        <v>425</v>
      </c>
      <c r="H790" t="s">
        <v>478</v>
      </c>
      <c r="I790">
        <v>3266</v>
      </c>
      <c r="J790">
        <v>1.35</v>
      </c>
      <c r="K790">
        <v>4409.1000000000004</v>
      </c>
      <c r="L790">
        <v>0.82</v>
      </c>
      <c r="M790">
        <v>2678.12</v>
      </c>
      <c r="N790">
        <v>1730.98</v>
      </c>
    </row>
    <row r="791" spans="1:14" x14ac:dyDescent="0.25">
      <c r="A791">
        <v>790</v>
      </c>
      <c r="B791" t="s">
        <v>304</v>
      </c>
      <c r="C791" t="str">
        <f t="shared" si="12"/>
        <v>Mar</v>
      </c>
      <c r="D791">
        <f>YEAR(SalesData[[#This Row],[Date]])</f>
        <v>2024</v>
      </c>
      <c r="E791" t="s">
        <v>364</v>
      </c>
      <c r="F791" t="s">
        <v>368</v>
      </c>
      <c r="G791" t="s">
        <v>414</v>
      </c>
      <c r="H791" t="s">
        <v>476</v>
      </c>
      <c r="I791">
        <v>1720</v>
      </c>
      <c r="J791">
        <v>1.32</v>
      </c>
      <c r="K791">
        <v>2270.4</v>
      </c>
      <c r="L791">
        <v>0.87</v>
      </c>
      <c r="M791">
        <v>1496.4</v>
      </c>
      <c r="N791">
        <v>774</v>
      </c>
    </row>
    <row r="792" spans="1:14" x14ac:dyDescent="0.25">
      <c r="A792">
        <v>791</v>
      </c>
      <c r="B792" t="s">
        <v>347</v>
      </c>
      <c r="C792" t="str">
        <f t="shared" si="12"/>
        <v>Feb</v>
      </c>
      <c r="D792">
        <f>YEAR(SalesData[[#This Row],[Date]])</f>
        <v>2024</v>
      </c>
      <c r="E792" t="s">
        <v>366</v>
      </c>
      <c r="F792" t="s">
        <v>367</v>
      </c>
      <c r="G792" t="s">
        <v>387</v>
      </c>
      <c r="H792" t="s">
        <v>472</v>
      </c>
      <c r="I792">
        <v>4360</v>
      </c>
      <c r="J792">
        <v>1.44</v>
      </c>
      <c r="K792">
        <v>6278.4</v>
      </c>
      <c r="L792">
        <v>1.0900000000000001</v>
      </c>
      <c r="M792">
        <v>4752.3999999999996</v>
      </c>
      <c r="N792">
        <v>1526</v>
      </c>
    </row>
    <row r="793" spans="1:14" x14ac:dyDescent="0.25">
      <c r="A793">
        <v>792</v>
      </c>
      <c r="B793" t="s">
        <v>112</v>
      </c>
      <c r="C793" t="str">
        <f t="shared" si="12"/>
        <v>May</v>
      </c>
      <c r="D793">
        <f>YEAR(SalesData[[#This Row],[Date]])</f>
        <v>2024</v>
      </c>
      <c r="E793" t="s">
        <v>363</v>
      </c>
      <c r="F793" t="s">
        <v>368</v>
      </c>
      <c r="G793" t="s">
        <v>445</v>
      </c>
      <c r="H793" t="s">
        <v>478</v>
      </c>
      <c r="I793">
        <v>3017</v>
      </c>
      <c r="J793">
        <v>1.37</v>
      </c>
      <c r="K793">
        <v>4133.29</v>
      </c>
      <c r="L793">
        <v>0.86</v>
      </c>
      <c r="M793">
        <v>2594.62</v>
      </c>
      <c r="N793">
        <v>1538.67</v>
      </c>
    </row>
    <row r="794" spans="1:14" x14ac:dyDescent="0.25">
      <c r="A794">
        <v>793</v>
      </c>
      <c r="B794" t="s">
        <v>68</v>
      </c>
      <c r="C794" t="str">
        <f t="shared" si="12"/>
        <v>Nov</v>
      </c>
      <c r="D794">
        <f>YEAR(SalesData[[#This Row],[Date]])</f>
        <v>2024</v>
      </c>
      <c r="E794" t="s">
        <v>363</v>
      </c>
      <c r="F794" t="s">
        <v>368</v>
      </c>
      <c r="G794" t="s">
        <v>450</v>
      </c>
      <c r="H794" t="s">
        <v>488</v>
      </c>
      <c r="I794">
        <v>4572</v>
      </c>
      <c r="J794">
        <v>1.22</v>
      </c>
      <c r="K794">
        <v>5577.84</v>
      </c>
      <c r="L794">
        <v>0.92</v>
      </c>
      <c r="M794">
        <v>4206.24</v>
      </c>
      <c r="N794">
        <v>1371.6</v>
      </c>
    </row>
    <row r="795" spans="1:14" x14ac:dyDescent="0.25">
      <c r="A795">
        <v>794</v>
      </c>
      <c r="B795" t="s">
        <v>74</v>
      </c>
      <c r="C795" t="str">
        <f t="shared" si="12"/>
        <v>Feb</v>
      </c>
      <c r="D795">
        <f>YEAR(SalesData[[#This Row],[Date]])</f>
        <v>2024</v>
      </c>
      <c r="E795" t="s">
        <v>364</v>
      </c>
      <c r="F795" t="s">
        <v>368</v>
      </c>
      <c r="G795" t="s">
        <v>425</v>
      </c>
      <c r="H795" t="s">
        <v>484</v>
      </c>
      <c r="I795">
        <v>3156</v>
      </c>
      <c r="J795">
        <v>0.88</v>
      </c>
      <c r="K795">
        <v>2777.28</v>
      </c>
      <c r="L795">
        <v>0.68</v>
      </c>
      <c r="M795">
        <v>2146.08</v>
      </c>
      <c r="N795">
        <v>631.20000000000005</v>
      </c>
    </row>
    <row r="796" spans="1:14" x14ac:dyDescent="0.25">
      <c r="A796">
        <v>795</v>
      </c>
      <c r="B796" t="s">
        <v>305</v>
      </c>
      <c r="C796" t="str">
        <f t="shared" si="12"/>
        <v>Oct</v>
      </c>
      <c r="D796">
        <f>YEAR(SalesData[[#This Row],[Date]])</f>
        <v>2024</v>
      </c>
      <c r="E796" t="s">
        <v>365</v>
      </c>
      <c r="F796" t="s">
        <v>368</v>
      </c>
      <c r="G796" t="s">
        <v>381</v>
      </c>
      <c r="H796" t="s">
        <v>478</v>
      </c>
      <c r="I796">
        <v>1920</v>
      </c>
      <c r="J796">
        <v>1.03</v>
      </c>
      <c r="K796">
        <v>1977.6</v>
      </c>
      <c r="L796">
        <v>0.65</v>
      </c>
      <c r="M796">
        <v>1248</v>
      </c>
      <c r="N796">
        <v>729.6</v>
      </c>
    </row>
    <row r="797" spans="1:14" x14ac:dyDescent="0.25">
      <c r="A797">
        <v>796</v>
      </c>
      <c r="B797" t="s">
        <v>103</v>
      </c>
      <c r="C797" t="str">
        <f t="shared" si="12"/>
        <v>Mar</v>
      </c>
      <c r="D797">
        <f>YEAR(SalesData[[#This Row],[Date]])</f>
        <v>2024</v>
      </c>
      <c r="E797" t="s">
        <v>366</v>
      </c>
      <c r="F797" t="s">
        <v>369</v>
      </c>
      <c r="G797" t="s">
        <v>429</v>
      </c>
      <c r="H797" t="s">
        <v>475</v>
      </c>
      <c r="I797">
        <v>1851</v>
      </c>
      <c r="J797">
        <v>1.1100000000000001</v>
      </c>
      <c r="K797">
        <v>2054.61</v>
      </c>
      <c r="L797">
        <v>0.92</v>
      </c>
      <c r="M797">
        <v>1702.92</v>
      </c>
      <c r="N797">
        <v>351.69</v>
      </c>
    </row>
    <row r="798" spans="1:14" x14ac:dyDescent="0.25">
      <c r="A798">
        <v>797</v>
      </c>
      <c r="B798" t="s">
        <v>53</v>
      </c>
      <c r="C798" t="str">
        <f t="shared" si="12"/>
        <v>Jan</v>
      </c>
      <c r="D798">
        <f>YEAR(SalesData[[#This Row],[Date]])</f>
        <v>2024</v>
      </c>
      <c r="E798" t="s">
        <v>363</v>
      </c>
      <c r="F798" t="s">
        <v>368</v>
      </c>
      <c r="G798" t="s">
        <v>384</v>
      </c>
      <c r="H798" t="s">
        <v>489</v>
      </c>
      <c r="I798">
        <v>3581</v>
      </c>
      <c r="J798">
        <v>1.34</v>
      </c>
      <c r="K798">
        <v>4798.54</v>
      </c>
      <c r="L798">
        <v>0.81</v>
      </c>
      <c r="M798">
        <v>2900.61</v>
      </c>
      <c r="N798">
        <v>1897.93</v>
      </c>
    </row>
    <row r="799" spans="1:14" x14ac:dyDescent="0.25">
      <c r="A799">
        <v>798</v>
      </c>
      <c r="B799" t="s">
        <v>147</v>
      </c>
      <c r="C799" t="str">
        <f t="shared" si="12"/>
        <v>Sep</v>
      </c>
      <c r="D799">
        <f>YEAR(SalesData[[#This Row],[Date]])</f>
        <v>2024</v>
      </c>
      <c r="E799" t="s">
        <v>363</v>
      </c>
      <c r="F799" t="s">
        <v>367</v>
      </c>
      <c r="G799" t="s">
        <v>398</v>
      </c>
      <c r="H799" t="s">
        <v>480</v>
      </c>
      <c r="I799">
        <v>1230</v>
      </c>
      <c r="J799">
        <v>1.29</v>
      </c>
      <c r="K799">
        <v>1586.7</v>
      </c>
      <c r="L799">
        <v>0.97</v>
      </c>
      <c r="M799">
        <v>1193.0999999999999</v>
      </c>
      <c r="N799">
        <v>393.6</v>
      </c>
    </row>
    <row r="800" spans="1:14" x14ac:dyDescent="0.25">
      <c r="A800">
        <v>799</v>
      </c>
      <c r="B800" t="s">
        <v>333</v>
      </c>
      <c r="C800" t="str">
        <f t="shared" si="12"/>
        <v>May</v>
      </c>
      <c r="D800">
        <f>YEAR(SalesData[[#This Row],[Date]])</f>
        <v>2024</v>
      </c>
      <c r="E800" t="s">
        <v>364</v>
      </c>
      <c r="F800" t="s">
        <v>369</v>
      </c>
      <c r="G800" t="s">
        <v>454</v>
      </c>
      <c r="H800" t="s">
        <v>474</v>
      </c>
      <c r="I800">
        <v>2188</v>
      </c>
      <c r="J800">
        <v>0.9</v>
      </c>
      <c r="K800">
        <v>1969.2</v>
      </c>
      <c r="L800">
        <v>0.6</v>
      </c>
      <c r="M800">
        <v>1312.8</v>
      </c>
      <c r="N800">
        <v>656.4</v>
      </c>
    </row>
    <row r="801" spans="1:14" x14ac:dyDescent="0.25">
      <c r="A801">
        <v>800</v>
      </c>
      <c r="B801" t="s">
        <v>154</v>
      </c>
      <c r="C801" t="str">
        <f t="shared" si="12"/>
        <v>Aug</v>
      </c>
      <c r="D801">
        <f>YEAR(SalesData[[#This Row],[Date]])</f>
        <v>2024</v>
      </c>
      <c r="E801" t="s">
        <v>366</v>
      </c>
      <c r="F801" t="s">
        <v>369</v>
      </c>
      <c r="G801" t="s">
        <v>445</v>
      </c>
      <c r="H801" t="s">
        <v>489</v>
      </c>
      <c r="I801">
        <v>808</v>
      </c>
      <c r="J801">
        <v>1.22</v>
      </c>
      <c r="K801">
        <v>985.76</v>
      </c>
      <c r="L801">
        <v>0.95</v>
      </c>
      <c r="M801">
        <v>767.6</v>
      </c>
      <c r="N801">
        <v>218.16</v>
      </c>
    </row>
    <row r="802" spans="1:14" x14ac:dyDescent="0.25">
      <c r="A802">
        <v>801</v>
      </c>
      <c r="B802" t="s">
        <v>294</v>
      </c>
      <c r="C802" t="str">
        <f t="shared" si="12"/>
        <v>Nov</v>
      </c>
      <c r="D802">
        <f>YEAR(SalesData[[#This Row],[Date]])</f>
        <v>2024</v>
      </c>
      <c r="E802" t="s">
        <v>365</v>
      </c>
      <c r="F802" t="s">
        <v>367</v>
      </c>
      <c r="G802" t="s">
        <v>452</v>
      </c>
      <c r="H802" t="s">
        <v>481</v>
      </c>
      <c r="I802">
        <v>537</v>
      </c>
      <c r="J802">
        <v>1.19</v>
      </c>
      <c r="K802">
        <v>639.03</v>
      </c>
      <c r="L802">
        <v>0.77</v>
      </c>
      <c r="M802">
        <v>413.49</v>
      </c>
      <c r="N802">
        <v>225.54</v>
      </c>
    </row>
    <row r="803" spans="1:14" x14ac:dyDescent="0.25">
      <c r="A803">
        <v>802</v>
      </c>
      <c r="B803" t="s">
        <v>224</v>
      </c>
      <c r="C803" t="str">
        <f t="shared" si="12"/>
        <v>Sep</v>
      </c>
      <c r="D803">
        <f>YEAR(SalesData[[#This Row],[Date]])</f>
        <v>2024</v>
      </c>
      <c r="E803" t="s">
        <v>365</v>
      </c>
      <c r="F803" t="s">
        <v>367</v>
      </c>
      <c r="G803" t="s">
        <v>424</v>
      </c>
      <c r="H803" t="s">
        <v>476</v>
      </c>
      <c r="I803">
        <v>4657</v>
      </c>
      <c r="J803">
        <v>0.95</v>
      </c>
      <c r="K803">
        <v>4424.1499999999996</v>
      </c>
      <c r="L803">
        <v>0.75</v>
      </c>
      <c r="M803">
        <v>3492.75</v>
      </c>
      <c r="N803">
        <v>931.4</v>
      </c>
    </row>
    <row r="804" spans="1:14" x14ac:dyDescent="0.25">
      <c r="A804">
        <v>803</v>
      </c>
      <c r="B804" t="s">
        <v>311</v>
      </c>
      <c r="C804" t="str">
        <f t="shared" si="12"/>
        <v>Dec</v>
      </c>
      <c r="D804">
        <f>YEAR(SalesData[[#This Row],[Date]])</f>
        <v>2024</v>
      </c>
      <c r="E804" t="s">
        <v>365</v>
      </c>
      <c r="F804" t="s">
        <v>368</v>
      </c>
      <c r="G804" t="s">
        <v>456</v>
      </c>
      <c r="H804" t="s">
        <v>485</v>
      </c>
      <c r="I804">
        <v>1423</v>
      </c>
      <c r="J804">
        <v>1.36</v>
      </c>
      <c r="K804">
        <v>1935.28</v>
      </c>
      <c r="L804">
        <v>1.05</v>
      </c>
      <c r="M804">
        <v>1494.15</v>
      </c>
      <c r="N804">
        <v>441.13</v>
      </c>
    </row>
    <row r="805" spans="1:14" x14ac:dyDescent="0.25">
      <c r="A805">
        <v>804</v>
      </c>
      <c r="B805" t="s">
        <v>142</v>
      </c>
      <c r="C805" t="str">
        <f t="shared" si="12"/>
        <v>Aug</v>
      </c>
      <c r="D805">
        <f>YEAR(SalesData[[#This Row],[Date]])</f>
        <v>2024</v>
      </c>
      <c r="E805" t="s">
        <v>366</v>
      </c>
      <c r="F805" t="s">
        <v>369</v>
      </c>
      <c r="G805" t="s">
        <v>406</v>
      </c>
      <c r="H805" t="s">
        <v>478</v>
      </c>
      <c r="I805">
        <v>942</v>
      </c>
      <c r="J805">
        <v>1.25</v>
      </c>
      <c r="K805">
        <v>1177.5</v>
      </c>
      <c r="L805">
        <v>0.84</v>
      </c>
      <c r="M805">
        <v>791.28</v>
      </c>
      <c r="N805">
        <v>386.22</v>
      </c>
    </row>
    <row r="806" spans="1:14" x14ac:dyDescent="0.25">
      <c r="A806">
        <v>805</v>
      </c>
      <c r="B806" t="s">
        <v>260</v>
      </c>
      <c r="C806" t="str">
        <f t="shared" si="12"/>
        <v>Aug</v>
      </c>
      <c r="D806">
        <f>YEAR(SalesData[[#This Row],[Date]])</f>
        <v>2024</v>
      </c>
      <c r="E806" t="s">
        <v>365</v>
      </c>
      <c r="F806" t="s">
        <v>370</v>
      </c>
      <c r="G806" t="s">
        <v>422</v>
      </c>
      <c r="H806" t="s">
        <v>473</v>
      </c>
      <c r="I806">
        <v>854</v>
      </c>
      <c r="J806">
        <v>0.87</v>
      </c>
      <c r="K806">
        <v>742.98</v>
      </c>
      <c r="L806">
        <v>0.53</v>
      </c>
      <c r="M806">
        <v>452.62</v>
      </c>
      <c r="N806">
        <v>290.36</v>
      </c>
    </row>
    <row r="807" spans="1:14" x14ac:dyDescent="0.25">
      <c r="A807">
        <v>806</v>
      </c>
      <c r="B807" t="s">
        <v>215</v>
      </c>
      <c r="C807" t="str">
        <f t="shared" si="12"/>
        <v>Oct</v>
      </c>
      <c r="D807">
        <f>YEAR(SalesData[[#This Row],[Date]])</f>
        <v>2024</v>
      </c>
      <c r="E807" t="s">
        <v>366</v>
      </c>
      <c r="F807" t="s">
        <v>368</v>
      </c>
      <c r="G807" t="s">
        <v>435</v>
      </c>
      <c r="H807" t="s">
        <v>483</v>
      </c>
      <c r="I807">
        <v>4718</v>
      </c>
      <c r="J807">
        <v>0.88</v>
      </c>
      <c r="K807">
        <v>4151.84</v>
      </c>
      <c r="L807">
        <v>0.72</v>
      </c>
      <c r="M807">
        <v>3396.96</v>
      </c>
      <c r="N807">
        <v>754.88</v>
      </c>
    </row>
    <row r="808" spans="1:14" x14ac:dyDescent="0.25">
      <c r="A808">
        <v>807</v>
      </c>
      <c r="B808" t="s">
        <v>256</v>
      </c>
      <c r="C808" t="str">
        <f t="shared" si="12"/>
        <v>Aug</v>
      </c>
      <c r="D808">
        <f>YEAR(SalesData[[#This Row],[Date]])</f>
        <v>2024</v>
      </c>
      <c r="E808" t="s">
        <v>364</v>
      </c>
      <c r="F808" t="s">
        <v>370</v>
      </c>
      <c r="G808" t="s">
        <v>418</v>
      </c>
      <c r="H808" t="s">
        <v>487</v>
      </c>
      <c r="I808">
        <v>2384</v>
      </c>
      <c r="J808">
        <v>1.35</v>
      </c>
      <c r="K808">
        <v>3218.4</v>
      </c>
      <c r="L808">
        <v>0.92</v>
      </c>
      <c r="M808">
        <v>2193.2800000000002</v>
      </c>
      <c r="N808">
        <v>1025.1199999999999</v>
      </c>
    </row>
    <row r="809" spans="1:14" x14ac:dyDescent="0.25">
      <c r="A809">
        <v>808</v>
      </c>
      <c r="B809" t="s">
        <v>330</v>
      </c>
      <c r="C809" t="str">
        <f t="shared" si="12"/>
        <v>Feb</v>
      </c>
      <c r="D809">
        <f>YEAR(SalesData[[#This Row],[Date]])</f>
        <v>2024</v>
      </c>
      <c r="E809" t="s">
        <v>364</v>
      </c>
      <c r="F809" t="s">
        <v>368</v>
      </c>
      <c r="G809" t="s">
        <v>418</v>
      </c>
      <c r="H809" t="s">
        <v>484</v>
      </c>
      <c r="I809">
        <v>2307</v>
      </c>
      <c r="J809">
        <v>0.85</v>
      </c>
      <c r="K809">
        <v>1960.95</v>
      </c>
      <c r="L809">
        <v>0.63</v>
      </c>
      <c r="M809">
        <v>1453.41</v>
      </c>
      <c r="N809">
        <v>507.54</v>
      </c>
    </row>
    <row r="810" spans="1:14" x14ac:dyDescent="0.25">
      <c r="A810">
        <v>809</v>
      </c>
      <c r="B810" t="s">
        <v>229</v>
      </c>
      <c r="C810" t="str">
        <f t="shared" si="12"/>
        <v>Jan</v>
      </c>
      <c r="D810">
        <f>YEAR(SalesData[[#This Row],[Date]])</f>
        <v>2024</v>
      </c>
      <c r="E810" t="s">
        <v>366</v>
      </c>
      <c r="F810" t="s">
        <v>369</v>
      </c>
      <c r="G810" t="s">
        <v>381</v>
      </c>
      <c r="H810" t="s">
        <v>489</v>
      </c>
      <c r="I810">
        <v>4227</v>
      </c>
      <c r="J810">
        <v>0.92</v>
      </c>
      <c r="K810">
        <v>3888.84</v>
      </c>
      <c r="L810">
        <v>0.64</v>
      </c>
      <c r="M810">
        <v>2705.28</v>
      </c>
      <c r="N810">
        <v>1183.56</v>
      </c>
    </row>
    <row r="811" spans="1:14" x14ac:dyDescent="0.25">
      <c r="A811">
        <v>810</v>
      </c>
      <c r="B811" t="s">
        <v>172</v>
      </c>
      <c r="C811" t="str">
        <f t="shared" si="12"/>
        <v>Aug</v>
      </c>
      <c r="D811">
        <f>YEAR(SalesData[[#This Row],[Date]])</f>
        <v>2024</v>
      </c>
      <c r="E811" t="s">
        <v>365</v>
      </c>
      <c r="F811" t="s">
        <v>368</v>
      </c>
      <c r="G811" t="s">
        <v>412</v>
      </c>
      <c r="H811" t="s">
        <v>485</v>
      </c>
      <c r="I811">
        <v>3251</v>
      </c>
      <c r="J811">
        <v>0.89</v>
      </c>
      <c r="K811">
        <v>2893.39</v>
      </c>
      <c r="L811">
        <v>0.69</v>
      </c>
      <c r="M811">
        <v>2243.19</v>
      </c>
      <c r="N811">
        <v>650.20000000000005</v>
      </c>
    </row>
    <row r="812" spans="1:14" x14ac:dyDescent="0.25">
      <c r="A812">
        <v>811</v>
      </c>
      <c r="B812" t="s">
        <v>39</v>
      </c>
      <c r="C812" t="str">
        <f t="shared" si="12"/>
        <v>Jan</v>
      </c>
      <c r="D812">
        <f>YEAR(SalesData[[#This Row],[Date]])</f>
        <v>2024</v>
      </c>
      <c r="E812" t="s">
        <v>366</v>
      </c>
      <c r="F812" t="s">
        <v>370</v>
      </c>
      <c r="G812" t="s">
        <v>409</v>
      </c>
      <c r="H812" t="s">
        <v>473</v>
      </c>
      <c r="I812">
        <v>4256</v>
      </c>
      <c r="J812">
        <v>1.0900000000000001</v>
      </c>
      <c r="K812">
        <v>4639.04</v>
      </c>
      <c r="L812">
        <v>0.86</v>
      </c>
      <c r="M812">
        <v>3660.16</v>
      </c>
      <c r="N812">
        <v>978.88</v>
      </c>
    </row>
    <row r="813" spans="1:14" x14ac:dyDescent="0.25">
      <c r="A813">
        <v>812</v>
      </c>
      <c r="B813" t="s">
        <v>348</v>
      </c>
      <c r="C813" t="str">
        <f t="shared" si="12"/>
        <v>Apr</v>
      </c>
      <c r="D813">
        <f>YEAR(SalesData[[#This Row],[Date]])</f>
        <v>2024</v>
      </c>
      <c r="E813" t="s">
        <v>366</v>
      </c>
      <c r="F813" t="s">
        <v>370</v>
      </c>
      <c r="G813" t="s">
        <v>436</v>
      </c>
      <c r="H813" t="s">
        <v>489</v>
      </c>
      <c r="I813">
        <v>1892</v>
      </c>
      <c r="J813">
        <v>1.2</v>
      </c>
      <c r="K813">
        <v>2270.4</v>
      </c>
      <c r="L813">
        <v>0.89</v>
      </c>
      <c r="M813">
        <v>1683.88</v>
      </c>
      <c r="N813">
        <v>586.52</v>
      </c>
    </row>
    <row r="814" spans="1:14" x14ac:dyDescent="0.25">
      <c r="A814">
        <v>813</v>
      </c>
      <c r="B814" t="s">
        <v>32</v>
      </c>
      <c r="C814" t="str">
        <f t="shared" si="12"/>
        <v>Apr</v>
      </c>
      <c r="D814">
        <f>YEAR(SalesData[[#This Row],[Date]])</f>
        <v>2024</v>
      </c>
      <c r="E814" t="s">
        <v>364</v>
      </c>
      <c r="F814" t="s">
        <v>367</v>
      </c>
      <c r="G814" t="s">
        <v>430</v>
      </c>
      <c r="H814" t="s">
        <v>483</v>
      </c>
      <c r="I814">
        <v>2273</v>
      </c>
      <c r="J814">
        <v>1.21</v>
      </c>
      <c r="K814">
        <v>2750.33</v>
      </c>
      <c r="L814">
        <v>0.98</v>
      </c>
      <c r="M814">
        <v>2227.54</v>
      </c>
      <c r="N814">
        <v>522.79</v>
      </c>
    </row>
    <row r="815" spans="1:14" x14ac:dyDescent="0.25">
      <c r="A815">
        <v>814</v>
      </c>
      <c r="B815" t="s">
        <v>58</v>
      </c>
      <c r="C815" t="str">
        <f t="shared" si="12"/>
        <v>May</v>
      </c>
      <c r="D815">
        <f>YEAR(SalesData[[#This Row],[Date]])</f>
        <v>2024</v>
      </c>
      <c r="E815" t="s">
        <v>364</v>
      </c>
      <c r="F815" t="s">
        <v>367</v>
      </c>
      <c r="G815" t="s">
        <v>371</v>
      </c>
      <c r="H815" t="s">
        <v>477</v>
      </c>
      <c r="I815">
        <v>2530</v>
      </c>
      <c r="J815">
        <v>1.03</v>
      </c>
      <c r="K815">
        <v>2605.9</v>
      </c>
      <c r="L815">
        <v>0.77</v>
      </c>
      <c r="M815">
        <v>1948.1</v>
      </c>
      <c r="N815">
        <v>657.8</v>
      </c>
    </row>
    <row r="816" spans="1:14" x14ac:dyDescent="0.25">
      <c r="A816">
        <v>815</v>
      </c>
      <c r="B816" t="s">
        <v>271</v>
      </c>
      <c r="C816" t="str">
        <f t="shared" si="12"/>
        <v>Oct</v>
      </c>
      <c r="D816">
        <f>YEAR(SalesData[[#This Row],[Date]])</f>
        <v>2024</v>
      </c>
      <c r="E816" t="s">
        <v>363</v>
      </c>
      <c r="F816" t="s">
        <v>368</v>
      </c>
      <c r="G816" t="s">
        <v>419</v>
      </c>
      <c r="H816" t="s">
        <v>478</v>
      </c>
      <c r="I816">
        <v>828</v>
      </c>
      <c r="J816">
        <v>1.49</v>
      </c>
      <c r="K816">
        <v>1233.72</v>
      </c>
      <c r="L816">
        <v>1.17</v>
      </c>
      <c r="M816">
        <v>968.76</v>
      </c>
      <c r="N816">
        <v>264.95999999999998</v>
      </c>
    </row>
    <row r="817" spans="1:14" x14ac:dyDescent="0.25">
      <c r="A817">
        <v>816</v>
      </c>
      <c r="B817" t="s">
        <v>248</v>
      </c>
      <c r="C817" t="str">
        <f t="shared" si="12"/>
        <v>Sep</v>
      </c>
      <c r="D817">
        <f>YEAR(SalesData[[#This Row],[Date]])</f>
        <v>2024</v>
      </c>
      <c r="E817" t="s">
        <v>364</v>
      </c>
      <c r="F817" t="s">
        <v>367</v>
      </c>
      <c r="G817" t="s">
        <v>442</v>
      </c>
      <c r="H817" t="s">
        <v>484</v>
      </c>
      <c r="I817">
        <v>4426</v>
      </c>
      <c r="J817">
        <v>1.37</v>
      </c>
      <c r="K817">
        <v>6063.62</v>
      </c>
      <c r="L817">
        <v>1.06</v>
      </c>
      <c r="M817">
        <v>4691.5600000000004</v>
      </c>
      <c r="N817">
        <v>1372.06</v>
      </c>
    </row>
    <row r="818" spans="1:14" x14ac:dyDescent="0.25">
      <c r="A818">
        <v>817</v>
      </c>
      <c r="B818" t="s">
        <v>330</v>
      </c>
      <c r="C818" t="str">
        <f t="shared" si="12"/>
        <v>Feb</v>
      </c>
      <c r="D818">
        <f>YEAR(SalesData[[#This Row],[Date]])</f>
        <v>2024</v>
      </c>
      <c r="E818" t="s">
        <v>364</v>
      </c>
      <c r="F818" t="s">
        <v>369</v>
      </c>
      <c r="G818" t="s">
        <v>388</v>
      </c>
      <c r="H818" t="s">
        <v>486</v>
      </c>
      <c r="I818">
        <v>601</v>
      </c>
      <c r="J818">
        <v>1.29</v>
      </c>
      <c r="K818">
        <v>775.29</v>
      </c>
      <c r="L818">
        <v>0.91</v>
      </c>
      <c r="M818">
        <v>546.91</v>
      </c>
      <c r="N818">
        <v>228.38</v>
      </c>
    </row>
    <row r="819" spans="1:14" x14ac:dyDescent="0.25">
      <c r="A819">
        <v>818</v>
      </c>
      <c r="B819" t="s">
        <v>331</v>
      </c>
      <c r="C819" t="str">
        <f t="shared" si="12"/>
        <v>Apr</v>
      </c>
      <c r="D819">
        <f>YEAR(SalesData[[#This Row],[Date]])</f>
        <v>2024</v>
      </c>
      <c r="E819" t="s">
        <v>365</v>
      </c>
      <c r="F819" t="s">
        <v>368</v>
      </c>
      <c r="G819" t="s">
        <v>386</v>
      </c>
      <c r="H819" t="s">
        <v>477</v>
      </c>
      <c r="I819">
        <v>1243</v>
      </c>
      <c r="J819">
        <v>0.81</v>
      </c>
      <c r="K819">
        <v>1006.83</v>
      </c>
      <c r="L819">
        <v>0.62</v>
      </c>
      <c r="M819">
        <v>770.66</v>
      </c>
      <c r="N819">
        <v>236.17</v>
      </c>
    </row>
    <row r="820" spans="1:14" x14ac:dyDescent="0.25">
      <c r="A820">
        <v>819</v>
      </c>
      <c r="B820" t="s">
        <v>27</v>
      </c>
      <c r="C820" t="str">
        <f t="shared" si="12"/>
        <v>Mar</v>
      </c>
      <c r="D820">
        <f>YEAR(SalesData[[#This Row],[Date]])</f>
        <v>2024</v>
      </c>
      <c r="E820" t="s">
        <v>363</v>
      </c>
      <c r="F820" t="s">
        <v>369</v>
      </c>
      <c r="G820" t="s">
        <v>378</v>
      </c>
      <c r="H820" t="s">
        <v>473</v>
      </c>
      <c r="I820">
        <v>1635</v>
      </c>
      <c r="J820">
        <v>1.41</v>
      </c>
      <c r="K820">
        <v>2305.35</v>
      </c>
      <c r="L820">
        <v>0.99</v>
      </c>
      <c r="M820">
        <v>1618.65</v>
      </c>
      <c r="N820">
        <v>686.7</v>
      </c>
    </row>
    <row r="821" spans="1:14" x14ac:dyDescent="0.25">
      <c r="A821">
        <v>820</v>
      </c>
      <c r="B821" t="s">
        <v>349</v>
      </c>
      <c r="C821" t="str">
        <f t="shared" si="12"/>
        <v>Jul</v>
      </c>
      <c r="D821">
        <f>YEAR(SalesData[[#This Row],[Date]])</f>
        <v>2024</v>
      </c>
      <c r="E821" t="s">
        <v>363</v>
      </c>
      <c r="F821" t="s">
        <v>369</v>
      </c>
      <c r="G821" t="s">
        <v>384</v>
      </c>
      <c r="H821" t="s">
        <v>486</v>
      </c>
      <c r="I821">
        <v>3652</v>
      </c>
      <c r="J821">
        <v>1.43</v>
      </c>
      <c r="K821">
        <v>5222.3599999999997</v>
      </c>
      <c r="L821">
        <v>0.98</v>
      </c>
      <c r="M821">
        <v>3578.96</v>
      </c>
      <c r="N821">
        <v>1643.4</v>
      </c>
    </row>
    <row r="822" spans="1:14" x14ac:dyDescent="0.25">
      <c r="A822">
        <v>821</v>
      </c>
      <c r="B822" t="s">
        <v>350</v>
      </c>
      <c r="C822" t="str">
        <f t="shared" si="12"/>
        <v>Jan</v>
      </c>
      <c r="D822">
        <f>YEAR(SalesData[[#This Row],[Date]])</f>
        <v>2024</v>
      </c>
      <c r="E822" t="s">
        <v>364</v>
      </c>
      <c r="F822" t="s">
        <v>370</v>
      </c>
      <c r="G822" t="s">
        <v>463</v>
      </c>
      <c r="H822" t="s">
        <v>471</v>
      </c>
      <c r="I822">
        <v>4943</v>
      </c>
      <c r="J822">
        <v>1.2</v>
      </c>
      <c r="K822">
        <v>5931.6</v>
      </c>
      <c r="L822">
        <v>0.78</v>
      </c>
      <c r="M822">
        <v>3855.54</v>
      </c>
      <c r="N822">
        <v>2076.06</v>
      </c>
    </row>
    <row r="823" spans="1:14" x14ac:dyDescent="0.25">
      <c r="A823">
        <v>822</v>
      </c>
      <c r="B823" t="s">
        <v>171</v>
      </c>
      <c r="C823" t="str">
        <f t="shared" si="12"/>
        <v>Dec</v>
      </c>
      <c r="D823">
        <f>YEAR(SalesData[[#This Row],[Date]])</f>
        <v>2024</v>
      </c>
      <c r="E823" t="s">
        <v>365</v>
      </c>
      <c r="F823" t="s">
        <v>367</v>
      </c>
      <c r="G823" t="s">
        <v>371</v>
      </c>
      <c r="H823" t="s">
        <v>478</v>
      </c>
      <c r="I823">
        <v>4716</v>
      </c>
      <c r="J823">
        <v>1.46</v>
      </c>
      <c r="K823">
        <v>6885.36</v>
      </c>
      <c r="L823">
        <v>1.1200000000000001</v>
      </c>
      <c r="M823">
        <v>5281.92</v>
      </c>
      <c r="N823">
        <v>1603.44</v>
      </c>
    </row>
    <row r="824" spans="1:14" x14ac:dyDescent="0.25">
      <c r="A824">
        <v>823</v>
      </c>
      <c r="B824" t="s">
        <v>97</v>
      </c>
      <c r="C824" t="str">
        <f t="shared" si="12"/>
        <v>Jan</v>
      </c>
      <c r="D824">
        <f>YEAR(SalesData[[#This Row],[Date]])</f>
        <v>2024</v>
      </c>
      <c r="E824" t="s">
        <v>364</v>
      </c>
      <c r="F824" t="s">
        <v>367</v>
      </c>
      <c r="G824" t="s">
        <v>383</v>
      </c>
      <c r="H824" t="s">
        <v>473</v>
      </c>
      <c r="I824">
        <v>834</v>
      </c>
      <c r="J824">
        <v>1.06</v>
      </c>
      <c r="K824">
        <v>884.04</v>
      </c>
      <c r="L824">
        <v>0.68</v>
      </c>
      <c r="M824">
        <v>567.12</v>
      </c>
      <c r="N824">
        <v>316.92</v>
      </c>
    </row>
    <row r="825" spans="1:14" x14ac:dyDescent="0.25">
      <c r="A825">
        <v>824</v>
      </c>
      <c r="B825" t="s">
        <v>351</v>
      </c>
      <c r="C825" t="str">
        <f t="shared" si="12"/>
        <v>Oct</v>
      </c>
      <c r="D825">
        <f>YEAR(SalesData[[#This Row],[Date]])</f>
        <v>2024</v>
      </c>
      <c r="E825" t="s">
        <v>366</v>
      </c>
      <c r="F825" t="s">
        <v>367</v>
      </c>
      <c r="G825" t="s">
        <v>457</v>
      </c>
      <c r="H825" t="s">
        <v>487</v>
      </c>
      <c r="I825">
        <v>2454</v>
      </c>
      <c r="J825">
        <v>1.18</v>
      </c>
      <c r="K825">
        <v>2895.72</v>
      </c>
      <c r="L825">
        <v>0.9</v>
      </c>
      <c r="M825">
        <v>2208.6</v>
      </c>
      <c r="N825">
        <v>687.12</v>
      </c>
    </row>
    <row r="826" spans="1:14" x14ac:dyDescent="0.25">
      <c r="A826">
        <v>825</v>
      </c>
      <c r="B826" t="s">
        <v>343</v>
      </c>
      <c r="C826" t="str">
        <f t="shared" si="12"/>
        <v>Oct</v>
      </c>
      <c r="D826">
        <f>YEAR(SalesData[[#This Row],[Date]])</f>
        <v>2024</v>
      </c>
      <c r="E826" t="s">
        <v>366</v>
      </c>
      <c r="F826" t="s">
        <v>368</v>
      </c>
      <c r="G826" t="s">
        <v>441</v>
      </c>
      <c r="H826" t="s">
        <v>475</v>
      </c>
      <c r="I826">
        <v>2690</v>
      </c>
      <c r="J826">
        <v>1.1499999999999999</v>
      </c>
      <c r="K826">
        <v>3093.5</v>
      </c>
      <c r="L826">
        <v>0.81</v>
      </c>
      <c r="M826">
        <v>2178.9</v>
      </c>
      <c r="N826">
        <v>914.6</v>
      </c>
    </row>
    <row r="827" spans="1:14" x14ac:dyDescent="0.25">
      <c r="A827">
        <v>826</v>
      </c>
      <c r="B827" t="s">
        <v>229</v>
      </c>
      <c r="C827" t="str">
        <f t="shared" si="12"/>
        <v>Jan</v>
      </c>
      <c r="D827">
        <f>YEAR(SalesData[[#This Row],[Date]])</f>
        <v>2024</v>
      </c>
      <c r="E827" t="s">
        <v>365</v>
      </c>
      <c r="F827" t="s">
        <v>367</v>
      </c>
      <c r="G827" t="s">
        <v>452</v>
      </c>
      <c r="H827" t="s">
        <v>473</v>
      </c>
      <c r="I827">
        <v>4483</v>
      </c>
      <c r="J827">
        <v>1.1499999999999999</v>
      </c>
      <c r="K827">
        <v>5155.45</v>
      </c>
      <c r="L827">
        <v>0.93</v>
      </c>
      <c r="M827">
        <v>4169.1899999999996</v>
      </c>
      <c r="N827">
        <v>986.26</v>
      </c>
    </row>
    <row r="828" spans="1:14" x14ac:dyDescent="0.25">
      <c r="A828">
        <v>827</v>
      </c>
      <c r="B828" t="s">
        <v>56</v>
      </c>
      <c r="C828" t="str">
        <f t="shared" si="12"/>
        <v>Aug</v>
      </c>
      <c r="D828">
        <f>YEAR(SalesData[[#This Row],[Date]])</f>
        <v>2024</v>
      </c>
      <c r="E828" t="s">
        <v>364</v>
      </c>
      <c r="F828" t="s">
        <v>370</v>
      </c>
      <c r="G828" t="s">
        <v>402</v>
      </c>
      <c r="H828" t="s">
        <v>475</v>
      </c>
      <c r="I828">
        <v>1037</v>
      </c>
      <c r="J828">
        <v>0.93</v>
      </c>
      <c r="K828">
        <v>964.41</v>
      </c>
      <c r="L828">
        <v>0.76</v>
      </c>
      <c r="M828">
        <v>788.12</v>
      </c>
      <c r="N828">
        <v>176.29</v>
      </c>
    </row>
    <row r="829" spans="1:14" x14ac:dyDescent="0.25">
      <c r="A829">
        <v>828</v>
      </c>
      <c r="B829" t="s">
        <v>87</v>
      </c>
      <c r="C829" t="str">
        <f t="shared" si="12"/>
        <v>Feb</v>
      </c>
      <c r="D829">
        <f>YEAR(SalesData[[#This Row],[Date]])</f>
        <v>2024</v>
      </c>
      <c r="E829" t="s">
        <v>364</v>
      </c>
      <c r="F829" t="s">
        <v>367</v>
      </c>
      <c r="G829" t="s">
        <v>445</v>
      </c>
      <c r="H829" t="s">
        <v>482</v>
      </c>
      <c r="I829">
        <v>1130</v>
      </c>
      <c r="J829">
        <v>0.88</v>
      </c>
      <c r="K829">
        <v>994.4</v>
      </c>
      <c r="L829">
        <v>0.59</v>
      </c>
      <c r="M829">
        <v>666.7</v>
      </c>
      <c r="N829">
        <v>327.7</v>
      </c>
    </row>
    <row r="830" spans="1:14" x14ac:dyDescent="0.25">
      <c r="A830">
        <v>829</v>
      </c>
      <c r="B830" t="s">
        <v>70</v>
      </c>
      <c r="C830" t="str">
        <f t="shared" si="12"/>
        <v>Dec</v>
      </c>
      <c r="D830">
        <f>YEAR(SalesData[[#This Row],[Date]])</f>
        <v>2024</v>
      </c>
      <c r="E830" t="s">
        <v>364</v>
      </c>
      <c r="F830" t="s">
        <v>368</v>
      </c>
      <c r="G830" t="s">
        <v>399</v>
      </c>
      <c r="H830" t="s">
        <v>485</v>
      </c>
      <c r="I830">
        <v>4765</v>
      </c>
      <c r="J830">
        <v>1.47</v>
      </c>
      <c r="K830">
        <v>7004.55</v>
      </c>
      <c r="L830">
        <v>0.89</v>
      </c>
      <c r="M830">
        <v>4240.8500000000004</v>
      </c>
      <c r="N830">
        <v>2763.7</v>
      </c>
    </row>
    <row r="831" spans="1:14" x14ac:dyDescent="0.25">
      <c r="A831">
        <v>830</v>
      </c>
      <c r="B831" t="s">
        <v>190</v>
      </c>
      <c r="C831" t="str">
        <f t="shared" si="12"/>
        <v>Aug</v>
      </c>
      <c r="D831">
        <f>YEAR(SalesData[[#This Row],[Date]])</f>
        <v>2024</v>
      </c>
      <c r="E831" t="s">
        <v>364</v>
      </c>
      <c r="F831" t="s">
        <v>368</v>
      </c>
      <c r="G831" t="s">
        <v>452</v>
      </c>
      <c r="H831" t="s">
        <v>481</v>
      </c>
      <c r="I831">
        <v>4136</v>
      </c>
      <c r="J831">
        <v>1.32</v>
      </c>
      <c r="K831">
        <v>5459.52</v>
      </c>
      <c r="L831">
        <v>0.8</v>
      </c>
      <c r="M831">
        <v>3308.8</v>
      </c>
      <c r="N831">
        <v>2150.7199999999998</v>
      </c>
    </row>
    <row r="832" spans="1:14" x14ac:dyDescent="0.25">
      <c r="A832">
        <v>831</v>
      </c>
      <c r="B832" t="s">
        <v>352</v>
      </c>
      <c r="C832" t="str">
        <f t="shared" si="12"/>
        <v>Apr</v>
      </c>
      <c r="D832">
        <f>YEAR(SalesData[[#This Row],[Date]])</f>
        <v>2024</v>
      </c>
      <c r="E832" t="s">
        <v>363</v>
      </c>
      <c r="F832" t="s">
        <v>367</v>
      </c>
      <c r="G832" t="s">
        <v>465</v>
      </c>
      <c r="H832" t="s">
        <v>490</v>
      </c>
      <c r="I832">
        <v>3251</v>
      </c>
      <c r="J832">
        <v>1.0900000000000001</v>
      </c>
      <c r="K832">
        <v>3543.59</v>
      </c>
      <c r="L832">
        <v>0.75</v>
      </c>
      <c r="M832">
        <v>2438.25</v>
      </c>
      <c r="N832">
        <v>1105.3399999999999</v>
      </c>
    </row>
    <row r="833" spans="1:14" x14ac:dyDescent="0.25">
      <c r="A833">
        <v>832</v>
      </c>
      <c r="B833" t="s">
        <v>45</v>
      </c>
      <c r="C833" t="str">
        <f t="shared" si="12"/>
        <v>Nov</v>
      </c>
      <c r="D833">
        <f>YEAR(SalesData[[#This Row],[Date]])</f>
        <v>2024</v>
      </c>
      <c r="E833" t="s">
        <v>364</v>
      </c>
      <c r="F833" t="s">
        <v>370</v>
      </c>
      <c r="G833" t="s">
        <v>426</v>
      </c>
      <c r="H833" t="s">
        <v>490</v>
      </c>
      <c r="I833">
        <v>4993</v>
      </c>
      <c r="J833">
        <v>1.1100000000000001</v>
      </c>
      <c r="K833">
        <v>5542.23</v>
      </c>
      <c r="L833">
        <v>0.75</v>
      </c>
      <c r="M833">
        <v>3744.75</v>
      </c>
      <c r="N833">
        <v>1797.48</v>
      </c>
    </row>
    <row r="834" spans="1:14" x14ac:dyDescent="0.25">
      <c r="A834">
        <v>833</v>
      </c>
      <c r="B834" t="s">
        <v>257</v>
      </c>
      <c r="C834" t="str">
        <f t="shared" ref="C834:C897" si="13">TEXT(B834,"mmm")</f>
        <v>Mar</v>
      </c>
      <c r="D834">
        <f>YEAR(SalesData[[#This Row],[Date]])</f>
        <v>2024</v>
      </c>
      <c r="E834" t="s">
        <v>366</v>
      </c>
      <c r="F834" t="s">
        <v>370</v>
      </c>
      <c r="G834" t="s">
        <v>382</v>
      </c>
      <c r="H834" t="s">
        <v>477</v>
      </c>
      <c r="I834">
        <v>4466</v>
      </c>
      <c r="J834">
        <v>1.06</v>
      </c>
      <c r="K834">
        <v>4733.96</v>
      </c>
      <c r="L834">
        <v>0.71</v>
      </c>
      <c r="M834">
        <v>3170.86</v>
      </c>
      <c r="N834">
        <v>1563.1</v>
      </c>
    </row>
    <row r="835" spans="1:14" x14ac:dyDescent="0.25">
      <c r="A835">
        <v>834</v>
      </c>
      <c r="B835" t="s">
        <v>24</v>
      </c>
      <c r="C835" t="str">
        <f t="shared" si="13"/>
        <v>Jan</v>
      </c>
      <c r="D835">
        <f>YEAR(SalesData[[#This Row],[Date]])</f>
        <v>2024</v>
      </c>
      <c r="E835" t="s">
        <v>365</v>
      </c>
      <c r="F835" t="s">
        <v>368</v>
      </c>
      <c r="G835" t="s">
        <v>407</v>
      </c>
      <c r="H835" t="s">
        <v>473</v>
      </c>
      <c r="I835">
        <v>1862</v>
      </c>
      <c r="J835">
        <v>1.23</v>
      </c>
      <c r="K835">
        <v>2290.2600000000002</v>
      </c>
      <c r="L835">
        <v>0.79</v>
      </c>
      <c r="M835">
        <v>1470.98</v>
      </c>
      <c r="N835">
        <v>819.28</v>
      </c>
    </row>
    <row r="836" spans="1:14" x14ac:dyDescent="0.25">
      <c r="A836">
        <v>835</v>
      </c>
      <c r="B836" t="s">
        <v>17</v>
      </c>
      <c r="C836" t="str">
        <f t="shared" si="13"/>
        <v>Oct</v>
      </c>
      <c r="D836">
        <f>YEAR(SalesData[[#This Row],[Date]])</f>
        <v>2024</v>
      </c>
      <c r="E836" t="s">
        <v>366</v>
      </c>
      <c r="F836" t="s">
        <v>370</v>
      </c>
      <c r="G836" t="s">
        <v>445</v>
      </c>
      <c r="H836" t="s">
        <v>474</v>
      </c>
      <c r="I836">
        <v>1820</v>
      </c>
      <c r="J836">
        <v>0.97</v>
      </c>
      <c r="K836">
        <v>1765.4</v>
      </c>
      <c r="L836">
        <v>0.59</v>
      </c>
      <c r="M836">
        <v>1073.8</v>
      </c>
      <c r="N836">
        <v>691.6</v>
      </c>
    </row>
    <row r="837" spans="1:14" x14ac:dyDescent="0.25">
      <c r="A837">
        <v>836</v>
      </c>
      <c r="B837" t="s">
        <v>335</v>
      </c>
      <c r="C837" t="str">
        <f t="shared" si="13"/>
        <v>Jun</v>
      </c>
      <c r="D837">
        <f>YEAR(SalesData[[#This Row],[Date]])</f>
        <v>2024</v>
      </c>
      <c r="E837" t="s">
        <v>364</v>
      </c>
      <c r="F837" t="s">
        <v>368</v>
      </c>
      <c r="G837" t="s">
        <v>382</v>
      </c>
      <c r="H837" t="s">
        <v>475</v>
      </c>
      <c r="I837">
        <v>2011</v>
      </c>
      <c r="J837">
        <v>0.94</v>
      </c>
      <c r="K837">
        <v>1890.34</v>
      </c>
      <c r="L837">
        <v>0.73</v>
      </c>
      <c r="M837">
        <v>1468.03</v>
      </c>
      <c r="N837">
        <v>422.31</v>
      </c>
    </row>
    <row r="838" spans="1:14" x14ac:dyDescent="0.25">
      <c r="A838">
        <v>837</v>
      </c>
      <c r="B838" t="s">
        <v>169</v>
      </c>
      <c r="C838" t="str">
        <f t="shared" si="13"/>
        <v>Dec</v>
      </c>
      <c r="D838">
        <f>YEAR(SalesData[[#This Row],[Date]])</f>
        <v>2024</v>
      </c>
      <c r="E838" t="s">
        <v>365</v>
      </c>
      <c r="F838" t="s">
        <v>370</v>
      </c>
      <c r="G838" t="s">
        <v>446</v>
      </c>
      <c r="H838" t="s">
        <v>475</v>
      </c>
      <c r="I838">
        <v>4173</v>
      </c>
      <c r="J838">
        <v>1.18</v>
      </c>
      <c r="K838">
        <v>4924.1400000000003</v>
      </c>
      <c r="L838">
        <v>0.76</v>
      </c>
      <c r="M838">
        <v>3171.48</v>
      </c>
      <c r="N838">
        <v>1752.66</v>
      </c>
    </row>
    <row r="839" spans="1:14" x14ac:dyDescent="0.25">
      <c r="A839">
        <v>838</v>
      </c>
      <c r="B839" t="s">
        <v>353</v>
      </c>
      <c r="C839" t="str">
        <f t="shared" si="13"/>
        <v>Jun</v>
      </c>
      <c r="D839">
        <f>YEAR(SalesData[[#This Row],[Date]])</f>
        <v>2024</v>
      </c>
      <c r="E839" t="s">
        <v>363</v>
      </c>
      <c r="F839" t="s">
        <v>367</v>
      </c>
      <c r="G839" t="s">
        <v>413</v>
      </c>
      <c r="H839" t="s">
        <v>483</v>
      </c>
      <c r="I839">
        <v>1690</v>
      </c>
      <c r="J839">
        <v>1.46</v>
      </c>
      <c r="K839">
        <v>2467.4</v>
      </c>
      <c r="L839">
        <v>1.21</v>
      </c>
      <c r="M839">
        <v>2044.9</v>
      </c>
      <c r="N839">
        <v>422.5</v>
      </c>
    </row>
    <row r="840" spans="1:14" x14ac:dyDescent="0.25">
      <c r="A840">
        <v>839</v>
      </c>
      <c r="B840" t="s">
        <v>132</v>
      </c>
      <c r="C840" t="str">
        <f t="shared" si="13"/>
        <v>Mar</v>
      </c>
      <c r="D840">
        <f>YEAR(SalesData[[#This Row],[Date]])</f>
        <v>2024</v>
      </c>
      <c r="E840" t="s">
        <v>365</v>
      </c>
      <c r="F840" t="s">
        <v>367</v>
      </c>
      <c r="G840" t="s">
        <v>431</v>
      </c>
      <c r="H840" t="s">
        <v>482</v>
      </c>
      <c r="I840">
        <v>4382</v>
      </c>
      <c r="J840">
        <v>1.43</v>
      </c>
      <c r="K840">
        <v>6266.26</v>
      </c>
      <c r="L840">
        <v>1.2</v>
      </c>
      <c r="M840">
        <v>5258.4</v>
      </c>
      <c r="N840">
        <v>1007.86</v>
      </c>
    </row>
    <row r="841" spans="1:14" x14ac:dyDescent="0.25">
      <c r="A841">
        <v>840</v>
      </c>
      <c r="B841" t="s">
        <v>180</v>
      </c>
      <c r="C841" t="str">
        <f t="shared" si="13"/>
        <v>Oct</v>
      </c>
      <c r="D841">
        <f>YEAR(SalesData[[#This Row],[Date]])</f>
        <v>2024</v>
      </c>
      <c r="E841" t="s">
        <v>364</v>
      </c>
      <c r="F841" t="s">
        <v>368</v>
      </c>
      <c r="G841" t="s">
        <v>425</v>
      </c>
      <c r="H841" t="s">
        <v>488</v>
      </c>
      <c r="I841">
        <v>4423</v>
      </c>
      <c r="J841">
        <v>1.43</v>
      </c>
      <c r="K841">
        <v>6324.89</v>
      </c>
      <c r="L841">
        <v>0.91</v>
      </c>
      <c r="M841">
        <v>4024.93</v>
      </c>
      <c r="N841">
        <v>2299.96</v>
      </c>
    </row>
    <row r="842" spans="1:14" x14ac:dyDescent="0.25">
      <c r="A842">
        <v>841</v>
      </c>
      <c r="B842" t="s">
        <v>184</v>
      </c>
      <c r="C842" t="str">
        <f t="shared" si="13"/>
        <v>Oct</v>
      </c>
      <c r="D842">
        <f>YEAR(SalesData[[#This Row],[Date]])</f>
        <v>2024</v>
      </c>
      <c r="E842" t="s">
        <v>365</v>
      </c>
      <c r="F842" t="s">
        <v>367</v>
      </c>
      <c r="G842" t="s">
        <v>435</v>
      </c>
      <c r="H842" t="s">
        <v>484</v>
      </c>
      <c r="I842">
        <v>2305</v>
      </c>
      <c r="J842">
        <v>1.1100000000000001</v>
      </c>
      <c r="K842">
        <v>2558.5500000000002</v>
      </c>
      <c r="L842">
        <v>0.69</v>
      </c>
      <c r="M842">
        <v>1590.45</v>
      </c>
      <c r="N842">
        <v>968.1</v>
      </c>
    </row>
    <row r="843" spans="1:14" x14ac:dyDescent="0.25">
      <c r="A843">
        <v>842</v>
      </c>
      <c r="B843" t="s">
        <v>210</v>
      </c>
      <c r="C843" t="str">
        <f t="shared" si="13"/>
        <v>Jan</v>
      </c>
      <c r="D843">
        <f>YEAR(SalesData[[#This Row],[Date]])</f>
        <v>2024</v>
      </c>
      <c r="E843" t="s">
        <v>366</v>
      </c>
      <c r="F843" t="s">
        <v>368</v>
      </c>
      <c r="G843" t="s">
        <v>380</v>
      </c>
      <c r="H843" t="s">
        <v>471</v>
      </c>
      <c r="I843">
        <v>2103</v>
      </c>
      <c r="J843">
        <v>0.82</v>
      </c>
      <c r="K843">
        <v>1724.46</v>
      </c>
      <c r="L843">
        <v>0.6</v>
      </c>
      <c r="M843">
        <v>1261.8</v>
      </c>
      <c r="N843">
        <v>462.66</v>
      </c>
    </row>
    <row r="844" spans="1:14" x14ac:dyDescent="0.25">
      <c r="A844">
        <v>843</v>
      </c>
      <c r="B844" t="s">
        <v>176</v>
      </c>
      <c r="C844" t="str">
        <f t="shared" si="13"/>
        <v>Aug</v>
      </c>
      <c r="D844">
        <f>YEAR(SalesData[[#This Row],[Date]])</f>
        <v>2024</v>
      </c>
      <c r="E844" t="s">
        <v>364</v>
      </c>
      <c r="F844" t="s">
        <v>367</v>
      </c>
      <c r="G844" t="s">
        <v>395</v>
      </c>
      <c r="H844" t="s">
        <v>483</v>
      </c>
      <c r="I844">
        <v>3103</v>
      </c>
      <c r="J844">
        <v>1.22</v>
      </c>
      <c r="K844">
        <v>3785.66</v>
      </c>
      <c r="L844">
        <v>0.89</v>
      </c>
      <c r="M844">
        <v>2761.67</v>
      </c>
      <c r="N844">
        <v>1023.99</v>
      </c>
    </row>
    <row r="845" spans="1:14" x14ac:dyDescent="0.25">
      <c r="A845">
        <v>844</v>
      </c>
      <c r="B845" t="s">
        <v>210</v>
      </c>
      <c r="C845" t="str">
        <f t="shared" si="13"/>
        <v>Jan</v>
      </c>
      <c r="D845">
        <f>YEAR(SalesData[[#This Row],[Date]])</f>
        <v>2024</v>
      </c>
      <c r="E845" t="s">
        <v>364</v>
      </c>
      <c r="F845" t="s">
        <v>370</v>
      </c>
      <c r="G845" t="s">
        <v>446</v>
      </c>
      <c r="H845" t="s">
        <v>481</v>
      </c>
      <c r="I845">
        <v>3528</v>
      </c>
      <c r="J845">
        <v>1.07</v>
      </c>
      <c r="K845">
        <v>3774.96</v>
      </c>
      <c r="L845">
        <v>0.65</v>
      </c>
      <c r="M845">
        <v>2293.1999999999998</v>
      </c>
      <c r="N845">
        <v>1481.76</v>
      </c>
    </row>
    <row r="846" spans="1:14" x14ac:dyDescent="0.25">
      <c r="A846">
        <v>845</v>
      </c>
      <c r="B846" t="s">
        <v>192</v>
      </c>
      <c r="C846" t="str">
        <f t="shared" si="13"/>
        <v>Jun</v>
      </c>
      <c r="D846">
        <f>YEAR(SalesData[[#This Row],[Date]])</f>
        <v>2024</v>
      </c>
      <c r="E846" t="s">
        <v>365</v>
      </c>
      <c r="F846" t="s">
        <v>370</v>
      </c>
      <c r="G846" t="s">
        <v>434</v>
      </c>
      <c r="H846" t="s">
        <v>476</v>
      </c>
      <c r="I846">
        <v>1217</v>
      </c>
      <c r="J846">
        <v>0.95</v>
      </c>
      <c r="K846">
        <v>1156.1500000000001</v>
      </c>
      <c r="L846">
        <v>0.78</v>
      </c>
      <c r="M846">
        <v>949.26</v>
      </c>
      <c r="N846">
        <v>206.89</v>
      </c>
    </row>
    <row r="847" spans="1:14" x14ac:dyDescent="0.25">
      <c r="A847">
        <v>846</v>
      </c>
      <c r="B847" t="s">
        <v>141</v>
      </c>
      <c r="C847" t="str">
        <f t="shared" si="13"/>
        <v>Jul</v>
      </c>
      <c r="D847">
        <f>YEAR(SalesData[[#This Row],[Date]])</f>
        <v>2024</v>
      </c>
      <c r="E847" t="s">
        <v>365</v>
      </c>
      <c r="F847" t="s">
        <v>369</v>
      </c>
      <c r="G847" t="s">
        <v>406</v>
      </c>
      <c r="H847" t="s">
        <v>481</v>
      </c>
      <c r="I847">
        <v>3893</v>
      </c>
      <c r="J847">
        <v>0.9</v>
      </c>
      <c r="K847">
        <v>3503.7</v>
      </c>
      <c r="L847">
        <v>0.67</v>
      </c>
      <c r="M847">
        <v>2608.31</v>
      </c>
      <c r="N847">
        <v>895.39</v>
      </c>
    </row>
    <row r="848" spans="1:14" x14ac:dyDescent="0.25">
      <c r="A848">
        <v>847</v>
      </c>
      <c r="B848" t="s">
        <v>87</v>
      </c>
      <c r="C848" t="str">
        <f t="shared" si="13"/>
        <v>Feb</v>
      </c>
      <c r="D848">
        <f>YEAR(SalesData[[#This Row],[Date]])</f>
        <v>2024</v>
      </c>
      <c r="E848" t="s">
        <v>366</v>
      </c>
      <c r="F848" t="s">
        <v>368</v>
      </c>
      <c r="G848" t="s">
        <v>443</v>
      </c>
      <c r="H848" t="s">
        <v>483</v>
      </c>
      <c r="I848">
        <v>4803</v>
      </c>
      <c r="J848">
        <v>1.49</v>
      </c>
      <c r="K848">
        <v>7156.47</v>
      </c>
      <c r="L848">
        <v>0.92</v>
      </c>
      <c r="M848">
        <v>4418.76</v>
      </c>
      <c r="N848">
        <v>2737.71</v>
      </c>
    </row>
    <row r="849" spans="1:14" x14ac:dyDescent="0.25">
      <c r="A849">
        <v>848</v>
      </c>
      <c r="B849" t="s">
        <v>271</v>
      </c>
      <c r="C849" t="str">
        <f t="shared" si="13"/>
        <v>Oct</v>
      </c>
      <c r="D849">
        <f>YEAR(SalesData[[#This Row],[Date]])</f>
        <v>2024</v>
      </c>
      <c r="E849" t="s">
        <v>363</v>
      </c>
      <c r="F849" t="s">
        <v>369</v>
      </c>
      <c r="G849" t="s">
        <v>398</v>
      </c>
      <c r="H849" t="s">
        <v>481</v>
      </c>
      <c r="I849">
        <v>2739</v>
      </c>
      <c r="J849">
        <v>1.0900000000000001</v>
      </c>
      <c r="K849">
        <v>2985.51</v>
      </c>
      <c r="L849">
        <v>0.81</v>
      </c>
      <c r="M849">
        <v>2218.59</v>
      </c>
      <c r="N849">
        <v>766.92</v>
      </c>
    </row>
    <row r="850" spans="1:14" x14ac:dyDescent="0.25">
      <c r="A850">
        <v>849</v>
      </c>
      <c r="B850" t="s">
        <v>187</v>
      </c>
      <c r="C850" t="str">
        <f t="shared" si="13"/>
        <v>Dec</v>
      </c>
      <c r="D850">
        <f>YEAR(SalesData[[#This Row],[Date]])</f>
        <v>2024</v>
      </c>
      <c r="E850" t="s">
        <v>366</v>
      </c>
      <c r="F850" t="s">
        <v>368</v>
      </c>
      <c r="G850" t="s">
        <v>401</v>
      </c>
      <c r="H850" t="s">
        <v>484</v>
      </c>
      <c r="I850">
        <v>2871</v>
      </c>
      <c r="J850">
        <v>1.19</v>
      </c>
      <c r="K850">
        <v>3416.49</v>
      </c>
      <c r="L850">
        <v>0.73</v>
      </c>
      <c r="M850">
        <v>2095.83</v>
      </c>
      <c r="N850">
        <v>1320.66</v>
      </c>
    </row>
    <row r="851" spans="1:14" x14ac:dyDescent="0.25">
      <c r="A851">
        <v>850</v>
      </c>
      <c r="B851" t="s">
        <v>353</v>
      </c>
      <c r="C851" t="str">
        <f t="shared" si="13"/>
        <v>Jun</v>
      </c>
      <c r="D851">
        <f>YEAR(SalesData[[#This Row],[Date]])</f>
        <v>2024</v>
      </c>
      <c r="E851" t="s">
        <v>364</v>
      </c>
      <c r="F851" t="s">
        <v>370</v>
      </c>
      <c r="G851" t="s">
        <v>421</v>
      </c>
      <c r="H851" t="s">
        <v>473</v>
      </c>
      <c r="I851">
        <v>2339</v>
      </c>
      <c r="J851">
        <v>0.82</v>
      </c>
      <c r="K851">
        <v>1917.98</v>
      </c>
      <c r="L851">
        <v>0.49</v>
      </c>
      <c r="M851">
        <v>1146.1099999999999</v>
      </c>
      <c r="N851">
        <v>771.87</v>
      </c>
    </row>
    <row r="852" spans="1:14" x14ac:dyDescent="0.25">
      <c r="A852">
        <v>851</v>
      </c>
      <c r="B852" t="s">
        <v>26</v>
      </c>
      <c r="C852" t="str">
        <f t="shared" si="13"/>
        <v>May</v>
      </c>
      <c r="D852">
        <f>YEAR(SalesData[[#This Row],[Date]])</f>
        <v>2024</v>
      </c>
      <c r="E852" t="s">
        <v>364</v>
      </c>
      <c r="F852" t="s">
        <v>370</v>
      </c>
      <c r="G852" t="s">
        <v>459</v>
      </c>
      <c r="H852" t="s">
        <v>482</v>
      </c>
      <c r="I852">
        <v>3917</v>
      </c>
      <c r="J852">
        <v>0.93</v>
      </c>
      <c r="K852">
        <v>3642.81</v>
      </c>
      <c r="L852">
        <v>0.77</v>
      </c>
      <c r="M852">
        <v>3016.09</v>
      </c>
      <c r="N852">
        <v>626.72</v>
      </c>
    </row>
    <row r="853" spans="1:14" x14ac:dyDescent="0.25">
      <c r="A853">
        <v>852</v>
      </c>
      <c r="B853" t="s">
        <v>45</v>
      </c>
      <c r="C853" t="str">
        <f t="shared" si="13"/>
        <v>Nov</v>
      </c>
      <c r="D853">
        <f>YEAR(SalesData[[#This Row],[Date]])</f>
        <v>2024</v>
      </c>
      <c r="E853" t="s">
        <v>363</v>
      </c>
      <c r="F853" t="s">
        <v>368</v>
      </c>
      <c r="G853" t="s">
        <v>459</v>
      </c>
      <c r="H853" t="s">
        <v>471</v>
      </c>
      <c r="I853">
        <v>4539</v>
      </c>
      <c r="J853">
        <v>1.5</v>
      </c>
      <c r="K853">
        <v>6808.5</v>
      </c>
      <c r="L853">
        <v>0.93</v>
      </c>
      <c r="M853">
        <v>4221.2700000000004</v>
      </c>
      <c r="N853">
        <v>2587.23</v>
      </c>
    </row>
    <row r="854" spans="1:14" x14ac:dyDescent="0.25">
      <c r="A854">
        <v>853</v>
      </c>
      <c r="B854" t="s">
        <v>18</v>
      </c>
      <c r="C854" t="str">
        <f t="shared" si="13"/>
        <v>Jul</v>
      </c>
      <c r="D854">
        <f>YEAR(SalesData[[#This Row],[Date]])</f>
        <v>2024</v>
      </c>
      <c r="E854" t="s">
        <v>364</v>
      </c>
      <c r="F854" t="s">
        <v>369</v>
      </c>
      <c r="G854" t="s">
        <v>382</v>
      </c>
      <c r="H854" t="s">
        <v>483</v>
      </c>
      <c r="I854">
        <v>1479</v>
      </c>
      <c r="J854">
        <v>1.06</v>
      </c>
      <c r="K854">
        <v>1567.74</v>
      </c>
      <c r="L854">
        <v>0.83</v>
      </c>
      <c r="M854">
        <v>1227.57</v>
      </c>
      <c r="N854">
        <v>340.17</v>
      </c>
    </row>
    <row r="855" spans="1:14" x14ac:dyDescent="0.25">
      <c r="A855">
        <v>854</v>
      </c>
      <c r="B855" t="s">
        <v>170</v>
      </c>
      <c r="C855" t="str">
        <f t="shared" si="13"/>
        <v>Jan</v>
      </c>
      <c r="D855">
        <f>YEAR(SalesData[[#This Row],[Date]])</f>
        <v>2024</v>
      </c>
      <c r="E855" t="s">
        <v>366</v>
      </c>
      <c r="F855" t="s">
        <v>370</v>
      </c>
      <c r="G855" t="s">
        <v>461</v>
      </c>
      <c r="H855" t="s">
        <v>478</v>
      </c>
      <c r="I855">
        <v>1697</v>
      </c>
      <c r="J855">
        <v>1.02</v>
      </c>
      <c r="K855">
        <v>1730.94</v>
      </c>
      <c r="L855">
        <v>0.84</v>
      </c>
      <c r="M855">
        <v>1425.48</v>
      </c>
      <c r="N855">
        <v>305.45999999999998</v>
      </c>
    </row>
    <row r="856" spans="1:14" x14ac:dyDescent="0.25">
      <c r="A856">
        <v>855</v>
      </c>
      <c r="B856" t="s">
        <v>354</v>
      </c>
      <c r="C856" t="str">
        <f t="shared" si="13"/>
        <v>Mar</v>
      </c>
      <c r="D856">
        <f>YEAR(SalesData[[#This Row],[Date]])</f>
        <v>2024</v>
      </c>
      <c r="E856" t="s">
        <v>366</v>
      </c>
      <c r="F856" t="s">
        <v>370</v>
      </c>
      <c r="G856" t="s">
        <v>456</v>
      </c>
      <c r="H856" t="s">
        <v>471</v>
      </c>
      <c r="I856">
        <v>3458</v>
      </c>
      <c r="J856">
        <v>1.0900000000000001</v>
      </c>
      <c r="K856">
        <v>3769.22</v>
      </c>
      <c r="L856">
        <v>0.9</v>
      </c>
      <c r="M856">
        <v>3112.2</v>
      </c>
      <c r="N856">
        <v>657.02</v>
      </c>
    </row>
    <row r="857" spans="1:14" x14ac:dyDescent="0.25">
      <c r="A857">
        <v>856</v>
      </c>
      <c r="B857" t="s">
        <v>266</v>
      </c>
      <c r="C857" t="str">
        <f t="shared" si="13"/>
        <v>Jul</v>
      </c>
      <c r="D857">
        <f>YEAR(SalesData[[#This Row],[Date]])</f>
        <v>2024</v>
      </c>
      <c r="E857" t="s">
        <v>365</v>
      </c>
      <c r="F857" t="s">
        <v>367</v>
      </c>
      <c r="G857" t="s">
        <v>386</v>
      </c>
      <c r="H857" t="s">
        <v>490</v>
      </c>
      <c r="I857">
        <v>1129</v>
      </c>
      <c r="J857">
        <v>1.1599999999999999</v>
      </c>
      <c r="K857">
        <v>1309.6400000000001</v>
      </c>
      <c r="L857">
        <v>0.92</v>
      </c>
      <c r="M857">
        <v>1038.68</v>
      </c>
      <c r="N857">
        <v>270.95999999999998</v>
      </c>
    </row>
    <row r="858" spans="1:14" x14ac:dyDescent="0.25">
      <c r="A858">
        <v>857</v>
      </c>
      <c r="B858" t="s">
        <v>290</v>
      </c>
      <c r="C858" t="str">
        <f t="shared" si="13"/>
        <v>Apr</v>
      </c>
      <c r="D858">
        <f>YEAR(SalesData[[#This Row],[Date]])</f>
        <v>2024</v>
      </c>
      <c r="E858" t="s">
        <v>366</v>
      </c>
      <c r="F858" t="s">
        <v>367</v>
      </c>
      <c r="G858" t="s">
        <v>470</v>
      </c>
      <c r="H858" t="s">
        <v>487</v>
      </c>
      <c r="I858">
        <v>3090</v>
      </c>
      <c r="J858">
        <v>1.38</v>
      </c>
      <c r="K858">
        <v>4264.2</v>
      </c>
      <c r="L858">
        <v>1.06</v>
      </c>
      <c r="M858">
        <v>3275.4</v>
      </c>
      <c r="N858">
        <v>988.8</v>
      </c>
    </row>
    <row r="859" spans="1:14" x14ac:dyDescent="0.25">
      <c r="A859">
        <v>858</v>
      </c>
      <c r="B859" t="s">
        <v>353</v>
      </c>
      <c r="C859" t="str">
        <f t="shared" si="13"/>
        <v>Jun</v>
      </c>
      <c r="D859">
        <f>YEAR(SalesData[[#This Row],[Date]])</f>
        <v>2024</v>
      </c>
      <c r="E859" t="s">
        <v>365</v>
      </c>
      <c r="F859" t="s">
        <v>370</v>
      </c>
      <c r="G859" t="s">
        <v>462</v>
      </c>
      <c r="H859" t="s">
        <v>476</v>
      </c>
      <c r="I859">
        <v>3380</v>
      </c>
      <c r="J859">
        <v>1.38</v>
      </c>
      <c r="K859">
        <v>4664.3999999999996</v>
      </c>
      <c r="L859">
        <v>0.83</v>
      </c>
      <c r="M859">
        <v>2805.4</v>
      </c>
      <c r="N859">
        <v>1859</v>
      </c>
    </row>
    <row r="860" spans="1:14" x14ac:dyDescent="0.25">
      <c r="A860">
        <v>859</v>
      </c>
      <c r="B860" t="s">
        <v>239</v>
      </c>
      <c r="C860" t="str">
        <f t="shared" si="13"/>
        <v>Sep</v>
      </c>
      <c r="D860">
        <f>YEAR(SalesData[[#This Row],[Date]])</f>
        <v>2024</v>
      </c>
      <c r="E860" t="s">
        <v>365</v>
      </c>
      <c r="F860" t="s">
        <v>370</v>
      </c>
      <c r="G860" t="s">
        <v>427</v>
      </c>
      <c r="H860" t="s">
        <v>483</v>
      </c>
      <c r="I860">
        <v>3875</v>
      </c>
      <c r="J860">
        <v>1.04</v>
      </c>
      <c r="K860">
        <v>4030</v>
      </c>
      <c r="L860">
        <v>0.86</v>
      </c>
      <c r="M860">
        <v>3332.5</v>
      </c>
      <c r="N860">
        <v>697.5</v>
      </c>
    </row>
    <row r="861" spans="1:14" x14ac:dyDescent="0.25">
      <c r="A861">
        <v>860</v>
      </c>
      <c r="B861" t="s">
        <v>340</v>
      </c>
      <c r="C861" t="str">
        <f t="shared" si="13"/>
        <v>Feb</v>
      </c>
      <c r="D861">
        <f>YEAR(SalesData[[#This Row],[Date]])</f>
        <v>2024</v>
      </c>
      <c r="E861" t="s">
        <v>366</v>
      </c>
      <c r="F861" t="s">
        <v>368</v>
      </c>
      <c r="G861" t="s">
        <v>405</v>
      </c>
      <c r="H861" t="s">
        <v>477</v>
      </c>
      <c r="I861">
        <v>2043</v>
      </c>
      <c r="J861">
        <v>1.36</v>
      </c>
      <c r="K861">
        <v>2778.48</v>
      </c>
      <c r="L861">
        <v>1.01</v>
      </c>
      <c r="M861">
        <v>2063.4299999999998</v>
      </c>
      <c r="N861">
        <v>715.05</v>
      </c>
    </row>
    <row r="862" spans="1:14" x14ac:dyDescent="0.25">
      <c r="A862">
        <v>861</v>
      </c>
      <c r="B862" t="s">
        <v>133</v>
      </c>
      <c r="C862" t="str">
        <f t="shared" si="13"/>
        <v>Dec</v>
      </c>
      <c r="D862">
        <f>YEAR(SalesData[[#This Row],[Date]])</f>
        <v>2024</v>
      </c>
      <c r="E862" t="s">
        <v>364</v>
      </c>
      <c r="F862" t="s">
        <v>367</v>
      </c>
      <c r="G862" t="s">
        <v>378</v>
      </c>
      <c r="H862" t="s">
        <v>486</v>
      </c>
      <c r="I862">
        <v>1454</v>
      </c>
      <c r="J862">
        <v>1.37</v>
      </c>
      <c r="K862">
        <v>1991.98</v>
      </c>
      <c r="L862">
        <v>1.1399999999999999</v>
      </c>
      <c r="M862">
        <v>1657.56</v>
      </c>
      <c r="N862">
        <v>334.42</v>
      </c>
    </row>
    <row r="863" spans="1:14" x14ac:dyDescent="0.25">
      <c r="A863">
        <v>862</v>
      </c>
      <c r="B863" t="s">
        <v>355</v>
      </c>
      <c r="C863" t="str">
        <f t="shared" si="13"/>
        <v>Sep</v>
      </c>
      <c r="D863">
        <f>YEAR(SalesData[[#This Row],[Date]])</f>
        <v>2024</v>
      </c>
      <c r="E863" t="s">
        <v>365</v>
      </c>
      <c r="F863" t="s">
        <v>370</v>
      </c>
      <c r="G863" t="s">
        <v>454</v>
      </c>
      <c r="H863" t="s">
        <v>475</v>
      </c>
      <c r="I863">
        <v>1638</v>
      </c>
      <c r="J863">
        <v>1.37</v>
      </c>
      <c r="K863">
        <v>2244.06</v>
      </c>
      <c r="L863">
        <v>1.1299999999999999</v>
      </c>
      <c r="M863">
        <v>1850.94</v>
      </c>
      <c r="N863">
        <v>393.12</v>
      </c>
    </row>
    <row r="864" spans="1:14" x14ac:dyDescent="0.25">
      <c r="A864">
        <v>863</v>
      </c>
      <c r="B864" t="s">
        <v>25</v>
      </c>
      <c r="C864" t="str">
        <f t="shared" si="13"/>
        <v>Nov</v>
      </c>
      <c r="D864">
        <f>YEAR(SalesData[[#This Row],[Date]])</f>
        <v>2024</v>
      </c>
      <c r="E864" t="s">
        <v>366</v>
      </c>
      <c r="F864" t="s">
        <v>370</v>
      </c>
      <c r="G864" t="s">
        <v>453</v>
      </c>
      <c r="H864" t="s">
        <v>482</v>
      </c>
      <c r="I864">
        <v>735</v>
      </c>
      <c r="J864">
        <v>1.32</v>
      </c>
      <c r="K864">
        <v>970.2</v>
      </c>
      <c r="L864">
        <v>0.83</v>
      </c>
      <c r="M864">
        <v>610.04999999999995</v>
      </c>
      <c r="N864">
        <v>360.15</v>
      </c>
    </row>
    <row r="865" spans="1:14" x14ac:dyDescent="0.25">
      <c r="A865">
        <v>864</v>
      </c>
      <c r="B865" t="s">
        <v>63</v>
      </c>
      <c r="C865" t="str">
        <f t="shared" si="13"/>
        <v>Mar</v>
      </c>
      <c r="D865">
        <f>YEAR(SalesData[[#This Row],[Date]])</f>
        <v>2024</v>
      </c>
      <c r="E865" t="s">
        <v>366</v>
      </c>
      <c r="F865" t="s">
        <v>368</v>
      </c>
      <c r="G865" t="s">
        <v>428</v>
      </c>
      <c r="H865" t="s">
        <v>474</v>
      </c>
      <c r="I865">
        <v>2219</v>
      </c>
      <c r="J865">
        <v>0.89</v>
      </c>
      <c r="K865">
        <v>1974.91</v>
      </c>
      <c r="L865">
        <v>0.55000000000000004</v>
      </c>
      <c r="M865">
        <v>1220.45</v>
      </c>
      <c r="N865">
        <v>754.46</v>
      </c>
    </row>
    <row r="866" spans="1:14" x14ac:dyDescent="0.25">
      <c r="A866">
        <v>865</v>
      </c>
      <c r="B866" t="s">
        <v>133</v>
      </c>
      <c r="C866" t="str">
        <f t="shared" si="13"/>
        <v>Dec</v>
      </c>
      <c r="D866">
        <f>YEAR(SalesData[[#This Row],[Date]])</f>
        <v>2024</v>
      </c>
      <c r="E866" t="s">
        <v>363</v>
      </c>
      <c r="F866" t="s">
        <v>367</v>
      </c>
      <c r="G866" t="s">
        <v>467</v>
      </c>
      <c r="H866" t="s">
        <v>483</v>
      </c>
      <c r="I866">
        <v>4032</v>
      </c>
      <c r="J866">
        <v>0.83</v>
      </c>
      <c r="K866">
        <v>3346.56</v>
      </c>
      <c r="L866">
        <v>0.52</v>
      </c>
      <c r="M866">
        <v>2096.64</v>
      </c>
      <c r="N866">
        <v>1249.92</v>
      </c>
    </row>
    <row r="867" spans="1:14" x14ac:dyDescent="0.25">
      <c r="A867">
        <v>866</v>
      </c>
      <c r="B867" t="s">
        <v>311</v>
      </c>
      <c r="C867" t="str">
        <f t="shared" si="13"/>
        <v>Dec</v>
      </c>
      <c r="D867">
        <f>YEAR(SalesData[[#This Row],[Date]])</f>
        <v>2024</v>
      </c>
      <c r="E867" t="s">
        <v>364</v>
      </c>
      <c r="F867" t="s">
        <v>367</v>
      </c>
      <c r="G867" t="s">
        <v>459</v>
      </c>
      <c r="H867" t="s">
        <v>471</v>
      </c>
      <c r="I867">
        <v>854</v>
      </c>
      <c r="J867">
        <v>0.85</v>
      </c>
      <c r="K867">
        <v>725.9</v>
      </c>
      <c r="L867">
        <v>0.65</v>
      </c>
      <c r="M867">
        <v>555.1</v>
      </c>
      <c r="N867">
        <v>170.8</v>
      </c>
    </row>
    <row r="868" spans="1:14" x14ac:dyDescent="0.25">
      <c r="A868">
        <v>867</v>
      </c>
      <c r="B868" t="s">
        <v>281</v>
      </c>
      <c r="C868" t="str">
        <f t="shared" si="13"/>
        <v>Feb</v>
      </c>
      <c r="D868">
        <f>YEAR(SalesData[[#This Row],[Date]])</f>
        <v>2024</v>
      </c>
      <c r="E868" t="s">
        <v>366</v>
      </c>
      <c r="F868" t="s">
        <v>367</v>
      </c>
      <c r="G868" t="s">
        <v>426</v>
      </c>
      <c r="H868" t="s">
        <v>485</v>
      </c>
      <c r="I868">
        <v>2013</v>
      </c>
      <c r="J868">
        <v>1.27</v>
      </c>
      <c r="K868">
        <v>2556.5100000000002</v>
      </c>
      <c r="L868">
        <v>0.77</v>
      </c>
      <c r="M868">
        <v>1550.01</v>
      </c>
      <c r="N868">
        <v>1006.5</v>
      </c>
    </row>
    <row r="869" spans="1:14" x14ac:dyDescent="0.25">
      <c r="A869">
        <v>868</v>
      </c>
      <c r="B869" t="s">
        <v>219</v>
      </c>
      <c r="C869" t="str">
        <f t="shared" si="13"/>
        <v>Mar</v>
      </c>
      <c r="D869">
        <f>YEAR(SalesData[[#This Row],[Date]])</f>
        <v>2024</v>
      </c>
      <c r="E869" t="s">
        <v>365</v>
      </c>
      <c r="F869" t="s">
        <v>370</v>
      </c>
      <c r="G869" t="s">
        <v>375</v>
      </c>
      <c r="H869" t="s">
        <v>480</v>
      </c>
      <c r="I869">
        <v>4601</v>
      </c>
      <c r="J869">
        <v>1.35</v>
      </c>
      <c r="K869">
        <v>6211.35</v>
      </c>
      <c r="L869">
        <v>1.02</v>
      </c>
      <c r="M869">
        <v>4693.0200000000004</v>
      </c>
      <c r="N869">
        <v>1518.33</v>
      </c>
    </row>
    <row r="870" spans="1:14" x14ac:dyDescent="0.25">
      <c r="A870">
        <v>869</v>
      </c>
      <c r="B870" t="s">
        <v>248</v>
      </c>
      <c r="C870" t="str">
        <f t="shared" si="13"/>
        <v>Sep</v>
      </c>
      <c r="D870">
        <f>YEAR(SalesData[[#This Row],[Date]])</f>
        <v>2024</v>
      </c>
      <c r="E870" t="s">
        <v>363</v>
      </c>
      <c r="F870" t="s">
        <v>367</v>
      </c>
      <c r="G870" t="s">
        <v>461</v>
      </c>
      <c r="H870" t="s">
        <v>472</v>
      </c>
      <c r="I870">
        <v>4832</v>
      </c>
      <c r="J870">
        <v>0.95</v>
      </c>
      <c r="K870">
        <v>4590.3999999999996</v>
      </c>
      <c r="L870">
        <v>0.62</v>
      </c>
      <c r="M870">
        <v>2995.84</v>
      </c>
      <c r="N870">
        <v>1594.56</v>
      </c>
    </row>
    <row r="871" spans="1:14" x14ac:dyDescent="0.25">
      <c r="A871">
        <v>870</v>
      </c>
      <c r="B871" t="s">
        <v>287</v>
      </c>
      <c r="C871" t="str">
        <f t="shared" si="13"/>
        <v>May</v>
      </c>
      <c r="D871">
        <f>YEAR(SalesData[[#This Row],[Date]])</f>
        <v>2024</v>
      </c>
      <c r="E871" t="s">
        <v>363</v>
      </c>
      <c r="F871" t="s">
        <v>368</v>
      </c>
      <c r="G871" t="s">
        <v>451</v>
      </c>
      <c r="H871" t="s">
        <v>488</v>
      </c>
      <c r="I871">
        <v>2253</v>
      </c>
      <c r="J871">
        <v>1.44</v>
      </c>
      <c r="K871">
        <v>3244.32</v>
      </c>
      <c r="L871">
        <v>1.17</v>
      </c>
      <c r="M871">
        <v>2636.01</v>
      </c>
      <c r="N871">
        <v>608.30999999999995</v>
      </c>
    </row>
    <row r="872" spans="1:14" x14ac:dyDescent="0.25">
      <c r="A872">
        <v>871</v>
      </c>
      <c r="B872" t="s">
        <v>317</v>
      </c>
      <c r="C872" t="str">
        <f t="shared" si="13"/>
        <v>Aug</v>
      </c>
      <c r="D872">
        <f>YEAR(SalesData[[#This Row],[Date]])</f>
        <v>2024</v>
      </c>
      <c r="E872" t="s">
        <v>366</v>
      </c>
      <c r="F872" t="s">
        <v>370</v>
      </c>
      <c r="G872" t="s">
        <v>396</v>
      </c>
      <c r="H872" t="s">
        <v>488</v>
      </c>
      <c r="I872">
        <v>1981</v>
      </c>
      <c r="J872">
        <v>1.38</v>
      </c>
      <c r="K872">
        <v>2733.78</v>
      </c>
      <c r="L872">
        <v>1.17</v>
      </c>
      <c r="M872">
        <v>2317.77</v>
      </c>
      <c r="N872">
        <v>416.01</v>
      </c>
    </row>
    <row r="873" spans="1:14" x14ac:dyDescent="0.25">
      <c r="A873">
        <v>872</v>
      </c>
      <c r="B873" t="s">
        <v>92</v>
      </c>
      <c r="C873" t="str">
        <f t="shared" si="13"/>
        <v>Aug</v>
      </c>
      <c r="D873">
        <f>YEAR(SalesData[[#This Row],[Date]])</f>
        <v>2024</v>
      </c>
      <c r="E873" t="s">
        <v>366</v>
      </c>
      <c r="F873" t="s">
        <v>368</v>
      </c>
      <c r="G873" t="s">
        <v>438</v>
      </c>
      <c r="H873" t="s">
        <v>488</v>
      </c>
      <c r="I873">
        <v>3074</v>
      </c>
      <c r="J873">
        <v>0.89</v>
      </c>
      <c r="K873">
        <v>2735.86</v>
      </c>
      <c r="L873">
        <v>0.56000000000000005</v>
      </c>
      <c r="M873">
        <v>1721.44</v>
      </c>
      <c r="N873">
        <v>1014.42</v>
      </c>
    </row>
    <row r="874" spans="1:14" x14ac:dyDescent="0.25">
      <c r="A874">
        <v>873</v>
      </c>
      <c r="B874" t="s">
        <v>354</v>
      </c>
      <c r="C874" t="str">
        <f t="shared" si="13"/>
        <v>Mar</v>
      </c>
      <c r="D874">
        <f>YEAR(SalesData[[#This Row],[Date]])</f>
        <v>2024</v>
      </c>
      <c r="E874" t="s">
        <v>365</v>
      </c>
      <c r="F874" t="s">
        <v>369</v>
      </c>
      <c r="G874" t="s">
        <v>453</v>
      </c>
      <c r="H874" t="s">
        <v>482</v>
      </c>
      <c r="I874">
        <v>832</v>
      </c>
      <c r="J874">
        <v>0.86</v>
      </c>
      <c r="K874">
        <v>715.52</v>
      </c>
      <c r="L874">
        <v>0.62</v>
      </c>
      <c r="M874">
        <v>515.84</v>
      </c>
      <c r="N874">
        <v>199.68</v>
      </c>
    </row>
    <row r="875" spans="1:14" x14ac:dyDescent="0.25">
      <c r="A875">
        <v>874</v>
      </c>
      <c r="B875" t="s">
        <v>173</v>
      </c>
      <c r="C875" t="str">
        <f t="shared" si="13"/>
        <v>Jul</v>
      </c>
      <c r="D875">
        <f>YEAR(SalesData[[#This Row],[Date]])</f>
        <v>2024</v>
      </c>
      <c r="E875" t="s">
        <v>364</v>
      </c>
      <c r="F875" t="s">
        <v>370</v>
      </c>
      <c r="G875" t="s">
        <v>448</v>
      </c>
      <c r="H875" t="s">
        <v>482</v>
      </c>
      <c r="I875">
        <v>4136</v>
      </c>
      <c r="J875">
        <v>0.96</v>
      </c>
      <c r="K875">
        <v>3970.56</v>
      </c>
      <c r="L875">
        <v>0.67</v>
      </c>
      <c r="M875">
        <v>2771.12</v>
      </c>
      <c r="N875">
        <v>1199.44</v>
      </c>
    </row>
    <row r="876" spans="1:14" x14ac:dyDescent="0.25">
      <c r="A876">
        <v>875</v>
      </c>
      <c r="B876" t="s">
        <v>250</v>
      </c>
      <c r="C876" t="str">
        <f t="shared" si="13"/>
        <v>Aug</v>
      </c>
      <c r="D876">
        <f>YEAR(SalesData[[#This Row],[Date]])</f>
        <v>2024</v>
      </c>
      <c r="E876" t="s">
        <v>363</v>
      </c>
      <c r="F876" t="s">
        <v>368</v>
      </c>
      <c r="G876" t="s">
        <v>393</v>
      </c>
      <c r="H876" t="s">
        <v>475</v>
      </c>
      <c r="I876">
        <v>1968</v>
      </c>
      <c r="J876">
        <v>0.81</v>
      </c>
      <c r="K876">
        <v>1594.08</v>
      </c>
      <c r="L876">
        <v>0.62</v>
      </c>
      <c r="M876">
        <v>1220.1600000000001</v>
      </c>
      <c r="N876">
        <v>373.92</v>
      </c>
    </row>
    <row r="877" spans="1:14" x14ac:dyDescent="0.25">
      <c r="A877">
        <v>876</v>
      </c>
      <c r="B877" t="s">
        <v>129</v>
      </c>
      <c r="C877" t="str">
        <f t="shared" si="13"/>
        <v>Dec</v>
      </c>
      <c r="D877">
        <f>YEAR(SalesData[[#This Row],[Date]])</f>
        <v>2024</v>
      </c>
      <c r="E877" t="s">
        <v>364</v>
      </c>
      <c r="F877" t="s">
        <v>367</v>
      </c>
      <c r="G877" t="s">
        <v>396</v>
      </c>
      <c r="H877" t="s">
        <v>490</v>
      </c>
      <c r="I877">
        <v>1196</v>
      </c>
      <c r="J877">
        <v>0.88</v>
      </c>
      <c r="K877">
        <v>1052.48</v>
      </c>
      <c r="L877">
        <v>0.61</v>
      </c>
      <c r="M877">
        <v>729.56</v>
      </c>
      <c r="N877">
        <v>322.92</v>
      </c>
    </row>
    <row r="878" spans="1:14" x14ac:dyDescent="0.25">
      <c r="A878">
        <v>877</v>
      </c>
      <c r="B878" t="s">
        <v>342</v>
      </c>
      <c r="C878" t="str">
        <f t="shared" si="13"/>
        <v>Dec</v>
      </c>
      <c r="D878">
        <f>YEAR(SalesData[[#This Row],[Date]])</f>
        <v>2024</v>
      </c>
      <c r="E878" t="s">
        <v>366</v>
      </c>
      <c r="F878" t="s">
        <v>367</v>
      </c>
      <c r="G878" t="s">
        <v>458</v>
      </c>
      <c r="H878" t="s">
        <v>475</v>
      </c>
      <c r="I878">
        <v>2130</v>
      </c>
      <c r="J878">
        <v>1.04</v>
      </c>
      <c r="K878">
        <v>2215.1999999999998</v>
      </c>
      <c r="L878">
        <v>0.78</v>
      </c>
      <c r="M878">
        <v>1661.4</v>
      </c>
      <c r="N878">
        <v>553.79999999999995</v>
      </c>
    </row>
    <row r="879" spans="1:14" x14ac:dyDescent="0.25">
      <c r="A879">
        <v>878</v>
      </c>
      <c r="B879" t="s">
        <v>108</v>
      </c>
      <c r="C879" t="str">
        <f t="shared" si="13"/>
        <v>Jul</v>
      </c>
      <c r="D879">
        <f>YEAR(SalesData[[#This Row],[Date]])</f>
        <v>2024</v>
      </c>
      <c r="E879" t="s">
        <v>366</v>
      </c>
      <c r="F879" t="s">
        <v>367</v>
      </c>
      <c r="G879" t="s">
        <v>449</v>
      </c>
      <c r="H879" t="s">
        <v>483</v>
      </c>
      <c r="I879">
        <v>2781</v>
      </c>
      <c r="J879">
        <v>1.34</v>
      </c>
      <c r="K879">
        <v>3726.54</v>
      </c>
      <c r="L879">
        <v>1.06</v>
      </c>
      <c r="M879">
        <v>2947.86</v>
      </c>
      <c r="N879">
        <v>778.68</v>
      </c>
    </row>
    <row r="880" spans="1:14" x14ac:dyDescent="0.25">
      <c r="A880">
        <v>879</v>
      </c>
      <c r="B880" t="s">
        <v>188</v>
      </c>
      <c r="C880" t="str">
        <f t="shared" si="13"/>
        <v>Oct</v>
      </c>
      <c r="D880">
        <f>YEAR(SalesData[[#This Row],[Date]])</f>
        <v>2024</v>
      </c>
      <c r="E880" t="s">
        <v>364</v>
      </c>
      <c r="F880" t="s">
        <v>370</v>
      </c>
      <c r="G880" t="s">
        <v>375</v>
      </c>
      <c r="H880" t="s">
        <v>483</v>
      </c>
      <c r="I880">
        <v>3813</v>
      </c>
      <c r="J880">
        <v>1.49</v>
      </c>
      <c r="K880">
        <v>5681.37</v>
      </c>
      <c r="L880">
        <v>1.08</v>
      </c>
      <c r="M880">
        <v>4118.04</v>
      </c>
      <c r="N880">
        <v>1563.33</v>
      </c>
    </row>
    <row r="881" spans="1:14" x14ac:dyDescent="0.25">
      <c r="A881">
        <v>880</v>
      </c>
      <c r="B881" t="s">
        <v>140</v>
      </c>
      <c r="C881" t="str">
        <f t="shared" si="13"/>
        <v>Mar</v>
      </c>
      <c r="D881">
        <f>YEAR(SalesData[[#This Row],[Date]])</f>
        <v>2024</v>
      </c>
      <c r="E881" t="s">
        <v>363</v>
      </c>
      <c r="F881" t="s">
        <v>369</v>
      </c>
      <c r="G881" t="s">
        <v>459</v>
      </c>
      <c r="H881" t="s">
        <v>471</v>
      </c>
      <c r="I881">
        <v>4508</v>
      </c>
      <c r="J881">
        <v>1.1499999999999999</v>
      </c>
      <c r="K881">
        <v>5184.2</v>
      </c>
      <c r="L881">
        <v>0.87</v>
      </c>
      <c r="M881">
        <v>3921.96</v>
      </c>
      <c r="N881">
        <v>1262.24</v>
      </c>
    </row>
    <row r="882" spans="1:14" x14ac:dyDescent="0.25">
      <c r="A882">
        <v>881</v>
      </c>
      <c r="B882" t="s">
        <v>209</v>
      </c>
      <c r="C882" t="str">
        <f t="shared" si="13"/>
        <v>Mar</v>
      </c>
      <c r="D882">
        <f>YEAR(SalesData[[#This Row],[Date]])</f>
        <v>2024</v>
      </c>
      <c r="E882" t="s">
        <v>363</v>
      </c>
      <c r="F882" t="s">
        <v>367</v>
      </c>
      <c r="G882" t="s">
        <v>371</v>
      </c>
      <c r="H882" t="s">
        <v>478</v>
      </c>
      <c r="I882">
        <v>1058</v>
      </c>
      <c r="J882">
        <v>1.1499999999999999</v>
      </c>
      <c r="K882">
        <v>1216.7</v>
      </c>
      <c r="L882">
        <v>0.7</v>
      </c>
      <c r="M882">
        <v>740.6</v>
      </c>
      <c r="N882">
        <v>476.1</v>
      </c>
    </row>
    <row r="883" spans="1:14" x14ac:dyDescent="0.25">
      <c r="A883">
        <v>882</v>
      </c>
      <c r="B883" t="s">
        <v>345</v>
      </c>
      <c r="C883" t="str">
        <f t="shared" si="13"/>
        <v>Apr</v>
      </c>
      <c r="D883">
        <f>YEAR(SalesData[[#This Row],[Date]])</f>
        <v>2024</v>
      </c>
      <c r="E883" t="s">
        <v>365</v>
      </c>
      <c r="F883" t="s">
        <v>369</v>
      </c>
      <c r="G883" t="s">
        <v>399</v>
      </c>
      <c r="H883" t="s">
        <v>482</v>
      </c>
      <c r="I883">
        <v>1289</v>
      </c>
      <c r="J883">
        <v>1.33</v>
      </c>
      <c r="K883">
        <v>1714.37</v>
      </c>
      <c r="L883">
        <v>1.02</v>
      </c>
      <c r="M883">
        <v>1314.78</v>
      </c>
      <c r="N883">
        <v>399.59</v>
      </c>
    </row>
    <row r="884" spans="1:14" x14ac:dyDescent="0.25">
      <c r="A884">
        <v>883</v>
      </c>
      <c r="B884" t="s">
        <v>61</v>
      </c>
      <c r="C884" t="str">
        <f t="shared" si="13"/>
        <v>Sep</v>
      </c>
      <c r="D884">
        <f>YEAR(SalesData[[#This Row],[Date]])</f>
        <v>2024</v>
      </c>
      <c r="E884" t="s">
        <v>364</v>
      </c>
      <c r="F884" t="s">
        <v>369</v>
      </c>
      <c r="G884" t="s">
        <v>418</v>
      </c>
      <c r="H884" t="s">
        <v>482</v>
      </c>
      <c r="I884">
        <v>4578</v>
      </c>
      <c r="J884">
        <v>1.1399999999999999</v>
      </c>
      <c r="K884">
        <v>5218.92</v>
      </c>
      <c r="L884">
        <v>0.76</v>
      </c>
      <c r="M884">
        <v>3479.28</v>
      </c>
      <c r="N884">
        <v>1739.64</v>
      </c>
    </row>
    <row r="885" spans="1:14" x14ac:dyDescent="0.25">
      <c r="A885">
        <v>884</v>
      </c>
      <c r="B885" t="s">
        <v>356</v>
      </c>
      <c r="C885" t="str">
        <f t="shared" si="13"/>
        <v>Jun</v>
      </c>
      <c r="D885">
        <f>YEAR(SalesData[[#This Row],[Date]])</f>
        <v>2024</v>
      </c>
      <c r="E885" t="s">
        <v>363</v>
      </c>
      <c r="F885" t="s">
        <v>367</v>
      </c>
      <c r="G885" t="s">
        <v>416</v>
      </c>
      <c r="H885" t="s">
        <v>488</v>
      </c>
      <c r="I885">
        <v>3642</v>
      </c>
      <c r="J885">
        <v>1.1200000000000001</v>
      </c>
      <c r="K885">
        <v>4079.04</v>
      </c>
      <c r="L885">
        <v>0.91</v>
      </c>
      <c r="M885">
        <v>3314.22</v>
      </c>
      <c r="N885">
        <v>764.82</v>
      </c>
    </row>
    <row r="886" spans="1:14" x14ac:dyDescent="0.25">
      <c r="A886">
        <v>885</v>
      </c>
      <c r="B886" t="s">
        <v>326</v>
      </c>
      <c r="C886" t="str">
        <f t="shared" si="13"/>
        <v>Aug</v>
      </c>
      <c r="D886">
        <f>YEAR(SalesData[[#This Row],[Date]])</f>
        <v>2024</v>
      </c>
      <c r="E886" t="s">
        <v>363</v>
      </c>
      <c r="F886" t="s">
        <v>369</v>
      </c>
      <c r="G886" t="s">
        <v>372</v>
      </c>
      <c r="H886" t="s">
        <v>480</v>
      </c>
      <c r="I886">
        <v>2982</v>
      </c>
      <c r="J886">
        <v>1.42</v>
      </c>
      <c r="K886">
        <v>4234.4399999999996</v>
      </c>
      <c r="L886">
        <v>0.91</v>
      </c>
      <c r="M886">
        <v>2713.62</v>
      </c>
      <c r="N886">
        <v>1520.82</v>
      </c>
    </row>
    <row r="887" spans="1:14" x14ac:dyDescent="0.25">
      <c r="A887">
        <v>886</v>
      </c>
      <c r="B887" t="s">
        <v>357</v>
      </c>
      <c r="C887" t="str">
        <f t="shared" si="13"/>
        <v>Aug</v>
      </c>
      <c r="D887">
        <f>YEAR(SalesData[[#This Row],[Date]])</f>
        <v>2024</v>
      </c>
      <c r="E887" t="s">
        <v>365</v>
      </c>
      <c r="F887" t="s">
        <v>368</v>
      </c>
      <c r="G887" t="s">
        <v>390</v>
      </c>
      <c r="H887" t="s">
        <v>484</v>
      </c>
      <c r="I887">
        <v>4493</v>
      </c>
      <c r="J887">
        <v>1.33</v>
      </c>
      <c r="K887">
        <v>5975.69</v>
      </c>
      <c r="L887">
        <v>0.99</v>
      </c>
      <c r="M887">
        <v>4448.07</v>
      </c>
      <c r="N887">
        <v>1527.62</v>
      </c>
    </row>
    <row r="888" spans="1:14" x14ac:dyDescent="0.25">
      <c r="A888">
        <v>887</v>
      </c>
      <c r="B888" t="s">
        <v>96</v>
      </c>
      <c r="C888" t="str">
        <f t="shared" si="13"/>
        <v>Sep</v>
      </c>
      <c r="D888">
        <f>YEAR(SalesData[[#This Row],[Date]])</f>
        <v>2024</v>
      </c>
      <c r="E888" t="s">
        <v>364</v>
      </c>
      <c r="F888" t="s">
        <v>369</v>
      </c>
      <c r="G888" t="s">
        <v>421</v>
      </c>
      <c r="H888" t="s">
        <v>480</v>
      </c>
      <c r="I888">
        <v>4650</v>
      </c>
      <c r="J888">
        <v>0.84</v>
      </c>
      <c r="K888">
        <v>3906</v>
      </c>
      <c r="L888">
        <v>0.56000000000000005</v>
      </c>
      <c r="M888">
        <v>2604</v>
      </c>
      <c r="N888">
        <v>1302</v>
      </c>
    </row>
    <row r="889" spans="1:14" x14ac:dyDescent="0.25">
      <c r="A889">
        <v>888</v>
      </c>
      <c r="B889" t="s">
        <v>271</v>
      </c>
      <c r="C889" t="str">
        <f t="shared" si="13"/>
        <v>Oct</v>
      </c>
      <c r="D889">
        <f>YEAR(SalesData[[#This Row],[Date]])</f>
        <v>2024</v>
      </c>
      <c r="E889" t="s">
        <v>365</v>
      </c>
      <c r="F889" t="s">
        <v>369</v>
      </c>
      <c r="G889" t="s">
        <v>380</v>
      </c>
      <c r="H889" t="s">
        <v>482</v>
      </c>
      <c r="I889">
        <v>3125</v>
      </c>
      <c r="J889">
        <v>0.84</v>
      </c>
      <c r="K889">
        <v>2625</v>
      </c>
      <c r="L889">
        <v>0.63</v>
      </c>
      <c r="M889">
        <v>1968.75</v>
      </c>
      <c r="N889">
        <v>656.25</v>
      </c>
    </row>
    <row r="890" spans="1:14" x14ac:dyDescent="0.25">
      <c r="A890">
        <v>889</v>
      </c>
      <c r="B890" t="s">
        <v>63</v>
      </c>
      <c r="C890" t="str">
        <f t="shared" si="13"/>
        <v>Mar</v>
      </c>
      <c r="D890">
        <f>YEAR(SalesData[[#This Row],[Date]])</f>
        <v>2024</v>
      </c>
      <c r="E890" t="s">
        <v>365</v>
      </c>
      <c r="F890" t="s">
        <v>370</v>
      </c>
      <c r="G890" t="s">
        <v>371</v>
      </c>
      <c r="H890" t="s">
        <v>479</v>
      </c>
      <c r="I890">
        <v>720</v>
      </c>
      <c r="J890">
        <v>1.34</v>
      </c>
      <c r="K890">
        <v>964.8</v>
      </c>
      <c r="L890">
        <v>1.01</v>
      </c>
      <c r="M890">
        <v>727.2</v>
      </c>
      <c r="N890">
        <v>237.6</v>
      </c>
    </row>
    <row r="891" spans="1:14" x14ac:dyDescent="0.25">
      <c r="A891">
        <v>890</v>
      </c>
      <c r="B891" t="s">
        <v>79</v>
      </c>
      <c r="C891" t="str">
        <f t="shared" si="13"/>
        <v>Jul</v>
      </c>
      <c r="D891">
        <f>YEAR(SalesData[[#This Row],[Date]])</f>
        <v>2024</v>
      </c>
      <c r="E891" t="s">
        <v>364</v>
      </c>
      <c r="F891" t="s">
        <v>367</v>
      </c>
      <c r="G891" t="s">
        <v>452</v>
      </c>
      <c r="H891" t="s">
        <v>475</v>
      </c>
      <c r="I891">
        <v>3874</v>
      </c>
      <c r="J891">
        <v>1.05</v>
      </c>
      <c r="K891">
        <v>4067.7</v>
      </c>
      <c r="L891">
        <v>0.8</v>
      </c>
      <c r="M891">
        <v>3099.2</v>
      </c>
      <c r="N891">
        <v>968.5</v>
      </c>
    </row>
    <row r="892" spans="1:14" x14ac:dyDescent="0.25">
      <c r="A892">
        <v>891</v>
      </c>
      <c r="B892" t="s">
        <v>231</v>
      </c>
      <c r="C892" t="str">
        <f t="shared" si="13"/>
        <v>May</v>
      </c>
      <c r="D892">
        <f>YEAR(SalesData[[#This Row],[Date]])</f>
        <v>2024</v>
      </c>
      <c r="E892" t="s">
        <v>365</v>
      </c>
      <c r="F892" t="s">
        <v>368</v>
      </c>
      <c r="G892" t="s">
        <v>426</v>
      </c>
      <c r="H892" t="s">
        <v>486</v>
      </c>
      <c r="I892">
        <v>1036</v>
      </c>
      <c r="J892">
        <v>1.41</v>
      </c>
      <c r="K892">
        <v>1460.76</v>
      </c>
      <c r="L892">
        <v>0.89</v>
      </c>
      <c r="M892">
        <v>922.04</v>
      </c>
      <c r="N892">
        <v>538.72</v>
      </c>
    </row>
    <row r="893" spans="1:14" x14ac:dyDescent="0.25">
      <c r="A893">
        <v>892</v>
      </c>
      <c r="B893" t="s">
        <v>66</v>
      </c>
      <c r="C893" t="str">
        <f t="shared" si="13"/>
        <v>Mar</v>
      </c>
      <c r="D893">
        <f>YEAR(SalesData[[#This Row],[Date]])</f>
        <v>2024</v>
      </c>
      <c r="E893" t="s">
        <v>365</v>
      </c>
      <c r="F893" t="s">
        <v>367</v>
      </c>
      <c r="G893" t="s">
        <v>372</v>
      </c>
      <c r="H893" t="s">
        <v>473</v>
      </c>
      <c r="I893">
        <v>3960</v>
      </c>
      <c r="J893">
        <v>1.2</v>
      </c>
      <c r="K893">
        <v>4752</v>
      </c>
      <c r="L893">
        <v>0.99</v>
      </c>
      <c r="M893">
        <v>3920.4</v>
      </c>
      <c r="N893">
        <v>831.6</v>
      </c>
    </row>
    <row r="894" spans="1:14" x14ac:dyDescent="0.25">
      <c r="A894">
        <v>893</v>
      </c>
      <c r="B894" t="s">
        <v>20</v>
      </c>
      <c r="C894" t="str">
        <f t="shared" si="13"/>
        <v>May</v>
      </c>
      <c r="D894">
        <f>YEAR(SalesData[[#This Row],[Date]])</f>
        <v>2024</v>
      </c>
      <c r="E894" t="s">
        <v>364</v>
      </c>
      <c r="F894" t="s">
        <v>367</v>
      </c>
      <c r="G894" t="s">
        <v>426</v>
      </c>
      <c r="H894" t="s">
        <v>472</v>
      </c>
      <c r="I894">
        <v>3092</v>
      </c>
      <c r="J894">
        <v>1.06</v>
      </c>
      <c r="K894">
        <v>3277.52</v>
      </c>
      <c r="L894">
        <v>0.74</v>
      </c>
      <c r="M894">
        <v>2288.08</v>
      </c>
      <c r="N894">
        <v>989.44</v>
      </c>
    </row>
    <row r="895" spans="1:14" x14ac:dyDescent="0.25">
      <c r="A895">
        <v>894</v>
      </c>
      <c r="B895" t="s">
        <v>180</v>
      </c>
      <c r="C895" t="str">
        <f t="shared" si="13"/>
        <v>Oct</v>
      </c>
      <c r="D895">
        <f>YEAR(SalesData[[#This Row],[Date]])</f>
        <v>2024</v>
      </c>
      <c r="E895" t="s">
        <v>364</v>
      </c>
      <c r="F895" t="s">
        <v>367</v>
      </c>
      <c r="G895" t="s">
        <v>462</v>
      </c>
      <c r="H895" t="s">
        <v>485</v>
      </c>
      <c r="I895">
        <v>3252</v>
      </c>
      <c r="J895">
        <v>1.1499999999999999</v>
      </c>
      <c r="K895">
        <v>3739.8</v>
      </c>
      <c r="L895">
        <v>0.92</v>
      </c>
      <c r="M895">
        <v>2991.84</v>
      </c>
      <c r="N895">
        <v>747.96</v>
      </c>
    </row>
    <row r="896" spans="1:14" x14ac:dyDescent="0.25">
      <c r="A896">
        <v>895</v>
      </c>
      <c r="B896" t="s">
        <v>71</v>
      </c>
      <c r="C896" t="str">
        <f t="shared" si="13"/>
        <v>Dec</v>
      </c>
      <c r="D896">
        <f>YEAR(SalesData[[#This Row],[Date]])</f>
        <v>2024</v>
      </c>
      <c r="E896" t="s">
        <v>366</v>
      </c>
      <c r="F896" t="s">
        <v>370</v>
      </c>
      <c r="G896" t="s">
        <v>422</v>
      </c>
      <c r="H896" t="s">
        <v>482</v>
      </c>
      <c r="I896">
        <v>3476</v>
      </c>
      <c r="J896">
        <v>1.48</v>
      </c>
      <c r="K896">
        <v>5144.4799999999996</v>
      </c>
      <c r="L896">
        <v>0.96</v>
      </c>
      <c r="M896">
        <v>3336.96</v>
      </c>
      <c r="N896">
        <v>1807.52</v>
      </c>
    </row>
    <row r="897" spans="1:14" x14ac:dyDescent="0.25">
      <c r="A897">
        <v>896</v>
      </c>
      <c r="B897" t="s">
        <v>277</v>
      </c>
      <c r="C897" t="str">
        <f t="shared" si="13"/>
        <v>Nov</v>
      </c>
      <c r="D897">
        <f>YEAR(SalesData[[#This Row],[Date]])</f>
        <v>2024</v>
      </c>
      <c r="E897" t="s">
        <v>366</v>
      </c>
      <c r="F897" t="s">
        <v>367</v>
      </c>
      <c r="G897" t="s">
        <v>407</v>
      </c>
      <c r="H897" t="s">
        <v>471</v>
      </c>
      <c r="I897">
        <v>889</v>
      </c>
      <c r="J897">
        <v>1.01</v>
      </c>
      <c r="K897">
        <v>897.89</v>
      </c>
      <c r="L897">
        <v>0.75</v>
      </c>
      <c r="M897">
        <v>666.75</v>
      </c>
      <c r="N897">
        <v>231.14</v>
      </c>
    </row>
    <row r="898" spans="1:14" x14ac:dyDescent="0.25">
      <c r="A898">
        <v>897</v>
      </c>
      <c r="B898" t="s">
        <v>143</v>
      </c>
      <c r="C898" t="str">
        <f t="shared" ref="C898:C961" si="14">TEXT(B898,"mmm")</f>
        <v>Apr</v>
      </c>
      <c r="D898">
        <f>YEAR(SalesData[[#This Row],[Date]])</f>
        <v>2024</v>
      </c>
      <c r="E898" t="s">
        <v>363</v>
      </c>
      <c r="F898" t="s">
        <v>367</v>
      </c>
      <c r="G898" t="s">
        <v>426</v>
      </c>
      <c r="H898" t="s">
        <v>487</v>
      </c>
      <c r="I898">
        <v>2739</v>
      </c>
      <c r="J898">
        <v>0.85</v>
      </c>
      <c r="K898">
        <v>2328.15</v>
      </c>
      <c r="L898">
        <v>0.68</v>
      </c>
      <c r="M898">
        <v>1862.52</v>
      </c>
      <c r="N898">
        <v>465.63</v>
      </c>
    </row>
    <row r="899" spans="1:14" x14ac:dyDescent="0.25">
      <c r="A899">
        <v>898</v>
      </c>
      <c r="B899" t="s">
        <v>317</v>
      </c>
      <c r="C899" t="str">
        <f t="shared" si="14"/>
        <v>Aug</v>
      </c>
      <c r="D899">
        <f>YEAR(SalesData[[#This Row],[Date]])</f>
        <v>2024</v>
      </c>
      <c r="E899" t="s">
        <v>366</v>
      </c>
      <c r="F899" t="s">
        <v>369</v>
      </c>
      <c r="G899" t="s">
        <v>452</v>
      </c>
      <c r="H899" t="s">
        <v>486</v>
      </c>
      <c r="I899">
        <v>2972</v>
      </c>
      <c r="J899">
        <v>1.1499999999999999</v>
      </c>
      <c r="K899">
        <v>3417.8</v>
      </c>
      <c r="L899">
        <v>0.78</v>
      </c>
      <c r="M899">
        <v>2318.16</v>
      </c>
      <c r="N899">
        <v>1099.6400000000001</v>
      </c>
    </row>
    <row r="900" spans="1:14" x14ac:dyDescent="0.25">
      <c r="A900">
        <v>899</v>
      </c>
      <c r="B900" t="s">
        <v>307</v>
      </c>
      <c r="C900" t="str">
        <f t="shared" si="14"/>
        <v>Dec</v>
      </c>
      <c r="D900">
        <f>YEAR(SalesData[[#This Row],[Date]])</f>
        <v>2024</v>
      </c>
      <c r="E900" t="s">
        <v>366</v>
      </c>
      <c r="F900" t="s">
        <v>370</v>
      </c>
      <c r="G900" t="s">
        <v>419</v>
      </c>
      <c r="H900" t="s">
        <v>484</v>
      </c>
      <c r="I900">
        <v>2558</v>
      </c>
      <c r="J900">
        <v>1.24</v>
      </c>
      <c r="K900">
        <v>3171.92</v>
      </c>
      <c r="L900">
        <v>0.88</v>
      </c>
      <c r="M900">
        <v>2251.04</v>
      </c>
      <c r="N900">
        <v>920.88</v>
      </c>
    </row>
    <row r="901" spans="1:14" x14ac:dyDescent="0.25">
      <c r="A901">
        <v>900</v>
      </c>
      <c r="B901" t="s">
        <v>64</v>
      </c>
      <c r="C901" t="str">
        <f t="shared" si="14"/>
        <v>Oct</v>
      </c>
      <c r="D901">
        <f>YEAR(SalesData[[#This Row],[Date]])</f>
        <v>2024</v>
      </c>
      <c r="E901" t="s">
        <v>363</v>
      </c>
      <c r="F901" t="s">
        <v>368</v>
      </c>
      <c r="G901" t="s">
        <v>384</v>
      </c>
      <c r="H901" t="s">
        <v>490</v>
      </c>
      <c r="I901">
        <v>2028</v>
      </c>
      <c r="J901">
        <v>1.2</v>
      </c>
      <c r="K901">
        <v>2433.6</v>
      </c>
      <c r="L901">
        <v>0.78</v>
      </c>
      <c r="M901">
        <v>1581.84</v>
      </c>
      <c r="N901">
        <v>851.76</v>
      </c>
    </row>
    <row r="902" spans="1:14" x14ac:dyDescent="0.25">
      <c r="A902">
        <v>901</v>
      </c>
      <c r="B902" t="s">
        <v>328</v>
      </c>
      <c r="C902" t="str">
        <f t="shared" si="14"/>
        <v>Aug</v>
      </c>
      <c r="D902">
        <f>YEAR(SalesData[[#This Row],[Date]])</f>
        <v>2024</v>
      </c>
      <c r="E902" t="s">
        <v>364</v>
      </c>
      <c r="F902" t="s">
        <v>370</v>
      </c>
      <c r="G902" t="s">
        <v>433</v>
      </c>
      <c r="H902" t="s">
        <v>478</v>
      </c>
      <c r="I902">
        <v>4778</v>
      </c>
      <c r="J902">
        <v>0.94</v>
      </c>
      <c r="K902">
        <v>4491.32</v>
      </c>
      <c r="L902">
        <v>0.67</v>
      </c>
      <c r="M902">
        <v>3201.26</v>
      </c>
      <c r="N902">
        <v>1290.06</v>
      </c>
    </row>
    <row r="903" spans="1:14" x14ac:dyDescent="0.25">
      <c r="A903">
        <v>902</v>
      </c>
      <c r="B903" t="s">
        <v>168</v>
      </c>
      <c r="C903" t="str">
        <f t="shared" si="14"/>
        <v>May</v>
      </c>
      <c r="D903">
        <f>YEAR(SalesData[[#This Row],[Date]])</f>
        <v>2024</v>
      </c>
      <c r="E903" t="s">
        <v>365</v>
      </c>
      <c r="F903" t="s">
        <v>368</v>
      </c>
      <c r="G903" t="s">
        <v>416</v>
      </c>
      <c r="H903" t="s">
        <v>481</v>
      </c>
      <c r="I903">
        <v>3110</v>
      </c>
      <c r="J903">
        <v>1.4</v>
      </c>
      <c r="K903">
        <v>4354</v>
      </c>
      <c r="L903">
        <v>1.1599999999999999</v>
      </c>
      <c r="M903">
        <v>3607.6</v>
      </c>
      <c r="N903">
        <v>746.4</v>
      </c>
    </row>
    <row r="904" spans="1:14" x14ac:dyDescent="0.25">
      <c r="A904">
        <v>903</v>
      </c>
      <c r="B904" t="s">
        <v>49</v>
      </c>
      <c r="C904" t="str">
        <f t="shared" si="14"/>
        <v>Nov</v>
      </c>
      <c r="D904">
        <f>YEAR(SalesData[[#This Row],[Date]])</f>
        <v>2024</v>
      </c>
      <c r="E904" t="s">
        <v>364</v>
      </c>
      <c r="F904" t="s">
        <v>368</v>
      </c>
      <c r="G904" t="s">
        <v>412</v>
      </c>
      <c r="H904" t="s">
        <v>482</v>
      </c>
      <c r="I904">
        <v>1815</v>
      </c>
      <c r="J904">
        <v>0.98</v>
      </c>
      <c r="K904">
        <v>1778.7</v>
      </c>
      <c r="L904">
        <v>0.74</v>
      </c>
      <c r="M904">
        <v>1343.1</v>
      </c>
      <c r="N904">
        <v>435.6</v>
      </c>
    </row>
    <row r="905" spans="1:14" x14ac:dyDescent="0.25">
      <c r="A905">
        <v>904</v>
      </c>
      <c r="B905" t="s">
        <v>243</v>
      </c>
      <c r="C905" t="str">
        <f t="shared" si="14"/>
        <v>Jul</v>
      </c>
      <c r="D905">
        <f>YEAR(SalesData[[#This Row],[Date]])</f>
        <v>2024</v>
      </c>
      <c r="E905" t="s">
        <v>363</v>
      </c>
      <c r="F905" t="s">
        <v>368</v>
      </c>
      <c r="G905" t="s">
        <v>399</v>
      </c>
      <c r="H905" t="s">
        <v>485</v>
      </c>
      <c r="I905">
        <v>726</v>
      </c>
      <c r="J905">
        <v>0.97</v>
      </c>
      <c r="K905">
        <v>704.22</v>
      </c>
      <c r="L905">
        <v>0.78</v>
      </c>
      <c r="M905">
        <v>566.28</v>
      </c>
      <c r="N905">
        <v>137.94</v>
      </c>
    </row>
    <row r="906" spans="1:14" x14ac:dyDescent="0.25">
      <c r="A906">
        <v>905</v>
      </c>
      <c r="B906" t="s">
        <v>191</v>
      </c>
      <c r="C906" t="str">
        <f t="shared" si="14"/>
        <v>Aug</v>
      </c>
      <c r="D906">
        <f>YEAR(SalesData[[#This Row],[Date]])</f>
        <v>2024</v>
      </c>
      <c r="E906" t="s">
        <v>364</v>
      </c>
      <c r="F906" t="s">
        <v>369</v>
      </c>
      <c r="G906" t="s">
        <v>449</v>
      </c>
      <c r="H906" t="s">
        <v>478</v>
      </c>
      <c r="I906">
        <v>2154</v>
      </c>
      <c r="J906">
        <v>0.91</v>
      </c>
      <c r="K906">
        <v>1960.14</v>
      </c>
      <c r="L906">
        <v>0.57999999999999996</v>
      </c>
      <c r="M906">
        <v>1249.32</v>
      </c>
      <c r="N906">
        <v>710.82</v>
      </c>
    </row>
    <row r="907" spans="1:14" x14ac:dyDescent="0.25">
      <c r="A907">
        <v>906</v>
      </c>
      <c r="B907" t="s">
        <v>289</v>
      </c>
      <c r="C907" t="str">
        <f t="shared" si="14"/>
        <v>May</v>
      </c>
      <c r="D907">
        <f>YEAR(SalesData[[#This Row],[Date]])</f>
        <v>2024</v>
      </c>
      <c r="E907" t="s">
        <v>366</v>
      </c>
      <c r="F907" t="s">
        <v>370</v>
      </c>
      <c r="G907" t="s">
        <v>431</v>
      </c>
      <c r="H907" t="s">
        <v>478</v>
      </c>
      <c r="I907">
        <v>4480</v>
      </c>
      <c r="J907">
        <v>1.35</v>
      </c>
      <c r="K907">
        <v>6048</v>
      </c>
      <c r="L907">
        <v>0.83</v>
      </c>
      <c r="M907">
        <v>3718.4</v>
      </c>
      <c r="N907">
        <v>2329.6</v>
      </c>
    </row>
    <row r="908" spans="1:14" x14ac:dyDescent="0.25">
      <c r="A908">
        <v>907</v>
      </c>
      <c r="B908" t="s">
        <v>174</v>
      </c>
      <c r="C908" t="str">
        <f t="shared" si="14"/>
        <v>Feb</v>
      </c>
      <c r="D908">
        <f>YEAR(SalesData[[#This Row],[Date]])</f>
        <v>2024</v>
      </c>
      <c r="E908" t="s">
        <v>365</v>
      </c>
      <c r="F908" t="s">
        <v>370</v>
      </c>
      <c r="G908" t="s">
        <v>458</v>
      </c>
      <c r="H908" t="s">
        <v>481</v>
      </c>
      <c r="I908">
        <v>3477</v>
      </c>
      <c r="J908">
        <v>1.27</v>
      </c>
      <c r="K908">
        <v>4415.79</v>
      </c>
      <c r="L908">
        <v>1.04</v>
      </c>
      <c r="M908">
        <v>3616.08</v>
      </c>
      <c r="N908">
        <v>799.71</v>
      </c>
    </row>
    <row r="909" spans="1:14" x14ac:dyDescent="0.25">
      <c r="A909">
        <v>908</v>
      </c>
      <c r="B909" t="s">
        <v>226</v>
      </c>
      <c r="C909" t="str">
        <f t="shared" si="14"/>
        <v>Jul</v>
      </c>
      <c r="D909">
        <f>YEAR(SalesData[[#This Row],[Date]])</f>
        <v>2024</v>
      </c>
      <c r="E909" t="s">
        <v>366</v>
      </c>
      <c r="F909" t="s">
        <v>368</v>
      </c>
      <c r="G909" t="s">
        <v>409</v>
      </c>
      <c r="H909" t="s">
        <v>479</v>
      </c>
      <c r="I909">
        <v>4598</v>
      </c>
      <c r="J909">
        <v>1.45</v>
      </c>
      <c r="K909">
        <v>6667.1</v>
      </c>
      <c r="L909">
        <v>1.06</v>
      </c>
      <c r="M909">
        <v>4873.88</v>
      </c>
      <c r="N909">
        <v>1793.22</v>
      </c>
    </row>
    <row r="910" spans="1:14" x14ac:dyDescent="0.25">
      <c r="A910">
        <v>909</v>
      </c>
      <c r="B910" t="s">
        <v>343</v>
      </c>
      <c r="C910" t="str">
        <f t="shared" si="14"/>
        <v>Oct</v>
      </c>
      <c r="D910">
        <f>YEAR(SalesData[[#This Row],[Date]])</f>
        <v>2024</v>
      </c>
      <c r="E910" t="s">
        <v>364</v>
      </c>
      <c r="F910" t="s">
        <v>370</v>
      </c>
      <c r="G910" t="s">
        <v>437</v>
      </c>
      <c r="H910" t="s">
        <v>477</v>
      </c>
      <c r="I910">
        <v>1501</v>
      </c>
      <c r="J910">
        <v>1.34</v>
      </c>
      <c r="K910">
        <v>2011.34</v>
      </c>
      <c r="L910">
        <v>0.91</v>
      </c>
      <c r="M910">
        <v>1365.91</v>
      </c>
      <c r="N910">
        <v>645.42999999999995</v>
      </c>
    </row>
    <row r="911" spans="1:14" x14ac:dyDescent="0.25">
      <c r="A911">
        <v>910</v>
      </c>
      <c r="B911" t="s">
        <v>23</v>
      </c>
      <c r="C911" t="str">
        <f t="shared" si="14"/>
        <v>Oct</v>
      </c>
      <c r="D911">
        <f>YEAR(SalesData[[#This Row],[Date]])</f>
        <v>2024</v>
      </c>
      <c r="E911" t="s">
        <v>366</v>
      </c>
      <c r="F911" t="s">
        <v>369</v>
      </c>
      <c r="G911" t="s">
        <v>449</v>
      </c>
      <c r="H911" t="s">
        <v>485</v>
      </c>
      <c r="I911">
        <v>1681</v>
      </c>
      <c r="J911">
        <v>0.87</v>
      </c>
      <c r="K911">
        <v>1462.47</v>
      </c>
      <c r="L911">
        <v>0.56999999999999995</v>
      </c>
      <c r="M911">
        <v>958.17</v>
      </c>
      <c r="N911">
        <v>504.3</v>
      </c>
    </row>
    <row r="912" spans="1:14" x14ac:dyDescent="0.25">
      <c r="A912">
        <v>911</v>
      </c>
      <c r="B912" t="s">
        <v>124</v>
      </c>
      <c r="C912" t="str">
        <f t="shared" si="14"/>
        <v>May</v>
      </c>
      <c r="D912">
        <f>YEAR(SalesData[[#This Row],[Date]])</f>
        <v>2024</v>
      </c>
      <c r="E912" t="s">
        <v>364</v>
      </c>
      <c r="F912" t="s">
        <v>369</v>
      </c>
      <c r="G912" t="s">
        <v>408</v>
      </c>
      <c r="H912" t="s">
        <v>479</v>
      </c>
      <c r="I912">
        <v>958</v>
      </c>
      <c r="J912">
        <v>1.1399999999999999</v>
      </c>
      <c r="K912">
        <v>1092.1199999999999</v>
      </c>
      <c r="L912">
        <v>0.79</v>
      </c>
      <c r="M912">
        <v>756.82</v>
      </c>
      <c r="N912">
        <v>335.3</v>
      </c>
    </row>
    <row r="913" spans="1:14" x14ac:dyDescent="0.25">
      <c r="A913">
        <v>912</v>
      </c>
      <c r="B913" t="s">
        <v>212</v>
      </c>
      <c r="C913" t="str">
        <f t="shared" si="14"/>
        <v>Feb</v>
      </c>
      <c r="D913">
        <f>YEAR(SalesData[[#This Row],[Date]])</f>
        <v>2024</v>
      </c>
      <c r="E913" t="s">
        <v>364</v>
      </c>
      <c r="F913" t="s">
        <v>370</v>
      </c>
      <c r="G913" t="s">
        <v>393</v>
      </c>
      <c r="H913" t="s">
        <v>477</v>
      </c>
      <c r="I913">
        <v>2775</v>
      </c>
      <c r="J913">
        <v>1.42</v>
      </c>
      <c r="K913">
        <v>3940.5</v>
      </c>
      <c r="L913">
        <v>1.18</v>
      </c>
      <c r="M913">
        <v>3274.5</v>
      </c>
      <c r="N913">
        <v>666</v>
      </c>
    </row>
    <row r="914" spans="1:14" x14ac:dyDescent="0.25">
      <c r="A914">
        <v>913</v>
      </c>
      <c r="B914" t="s">
        <v>18</v>
      </c>
      <c r="C914" t="str">
        <f t="shared" si="14"/>
        <v>Jul</v>
      </c>
      <c r="D914">
        <f>YEAR(SalesData[[#This Row],[Date]])</f>
        <v>2024</v>
      </c>
      <c r="E914" t="s">
        <v>365</v>
      </c>
      <c r="F914" t="s">
        <v>369</v>
      </c>
      <c r="G914" t="s">
        <v>428</v>
      </c>
      <c r="H914" t="s">
        <v>472</v>
      </c>
      <c r="I914">
        <v>785</v>
      </c>
      <c r="J914">
        <v>1.39</v>
      </c>
      <c r="K914">
        <v>1091.1500000000001</v>
      </c>
      <c r="L914">
        <v>1.06</v>
      </c>
      <c r="M914">
        <v>832.1</v>
      </c>
      <c r="N914">
        <v>259.05</v>
      </c>
    </row>
    <row r="915" spans="1:14" x14ac:dyDescent="0.25">
      <c r="A915">
        <v>914</v>
      </c>
      <c r="B915" t="s">
        <v>229</v>
      </c>
      <c r="C915" t="str">
        <f t="shared" si="14"/>
        <v>Jan</v>
      </c>
      <c r="D915">
        <f>YEAR(SalesData[[#This Row],[Date]])</f>
        <v>2024</v>
      </c>
      <c r="E915" t="s">
        <v>365</v>
      </c>
      <c r="F915" t="s">
        <v>368</v>
      </c>
      <c r="G915" t="s">
        <v>385</v>
      </c>
      <c r="H915" t="s">
        <v>484</v>
      </c>
      <c r="I915">
        <v>3033</v>
      </c>
      <c r="J915">
        <v>1.25</v>
      </c>
      <c r="K915">
        <v>3791.25</v>
      </c>
      <c r="L915">
        <v>0.97</v>
      </c>
      <c r="M915">
        <v>2942.01</v>
      </c>
      <c r="N915">
        <v>849.24</v>
      </c>
    </row>
    <row r="916" spans="1:14" x14ac:dyDescent="0.25">
      <c r="A916">
        <v>915</v>
      </c>
      <c r="B916" t="s">
        <v>171</v>
      </c>
      <c r="C916" t="str">
        <f t="shared" si="14"/>
        <v>Dec</v>
      </c>
      <c r="D916">
        <f>YEAR(SalesData[[#This Row],[Date]])</f>
        <v>2024</v>
      </c>
      <c r="E916" t="s">
        <v>366</v>
      </c>
      <c r="F916" t="s">
        <v>367</v>
      </c>
      <c r="G916" t="s">
        <v>396</v>
      </c>
      <c r="H916" t="s">
        <v>484</v>
      </c>
      <c r="I916">
        <v>564</v>
      </c>
      <c r="J916">
        <v>1.44</v>
      </c>
      <c r="K916">
        <v>812.16</v>
      </c>
      <c r="L916">
        <v>1.01</v>
      </c>
      <c r="M916">
        <v>569.64</v>
      </c>
      <c r="N916">
        <v>242.52</v>
      </c>
    </row>
    <row r="917" spans="1:14" x14ac:dyDescent="0.25">
      <c r="A917">
        <v>916</v>
      </c>
      <c r="B917" t="s">
        <v>303</v>
      </c>
      <c r="C917" t="str">
        <f t="shared" si="14"/>
        <v>May</v>
      </c>
      <c r="D917">
        <f>YEAR(SalesData[[#This Row],[Date]])</f>
        <v>2024</v>
      </c>
      <c r="E917" t="s">
        <v>363</v>
      </c>
      <c r="F917" t="s">
        <v>370</v>
      </c>
      <c r="G917" t="s">
        <v>463</v>
      </c>
      <c r="H917" t="s">
        <v>477</v>
      </c>
      <c r="I917">
        <v>2936</v>
      </c>
      <c r="J917">
        <v>0.95</v>
      </c>
      <c r="K917">
        <v>2789.2</v>
      </c>
      <c r="L917">
        <v>0.78</v>
      </c>
      <c r="M917">
        <v>2290.08</v>
      </c>
      <c r="N917">
        <v>499.12</v>
      </c>
    </row>
    <row r="918" spans="1:14" x14ac:dyDescent="0.25">
      <c r="A918">
        <v>917</v>
      </c>
      <c r="B918" t="s">
        <v>31</v>
      </c>
      <c r="C918" t="str">
        <f t="shared" si="14"/>
        <v>Aug</v>
      </c>
      <c r="D918">
        <f>YEAR(SalesData[[#This Row],[Date]])</f>
        <v>2024</v>
      </c>
      <c r="E918" t="s">
        <v>364</v>
      </c>
      <c r="F918" t="s">
        <v>370</v>
      </c>
      <c r="G918" t="s">
        <v>372</v>
      </c>
      <c r="H918" t="s">
        <v>471</v>
      </c>
      <c r="I918">
        <v>1156</v>
      </c>
      <c r="J918">
        <v>1.38</v>
      </c>
      <c r="K918">
        <v>1595.28</v>
      </c>
      <c r="L918">
        <v>1.1499999999999999</v>
      </c>
      <c r="M918">
        <v>1329.4</v>
      </c>
      <c r="N918">
        <v>265.88</v>
      </c>
    </row>
    <row r="919" spans="1:14" x14ac:dyDescent="0.25">
      <c r="A919">
        <v>918</v>
      </c>
      <c r="B919" t="s">
        <v>199</v>
      </c>
      <c r="C919" t="str">
        <f t="shared" si="14"/>
        <v>Aug</v>
      </c>
      <c r="D919">
        <f>YEAR(SalesData[[#This Row],[Date]])</f>
        <v>2024</v>
      </c>
      <c r="E919" t="s">
        <v>365</v>
      </c>
      <c r="F919" t="s">
        <v>369</v>
      </c>
      <c r="G919" t="s">
        <v>390</v>
      </c>
      <c r="H919" t="s">
        <v>481</v>
      </c>
      <c r="I919">
        <v>1322</v>
      </c>
      <c r="J919">
        <v>1.38</v>
      </c>
      <c r="K919">
        <v>1824.36</v>
      </c>
      <c r="L919">
        <v>1.07</v>
      </c>
      <c r="M919">
        <v>1414.54</v>
      </c>
      <c r="N919">
        <v>409.82</v>
      </c>
    </row>
    <row r="920" spans="1:14" x14ac:dyDescent="0.25">
      <c r="A920">
        <v>919</v>
      </c>
      <c r="B920" t="s">
        <v>358</v>
      </c>
      <c r="C920" t="str">
        <f t="shared" si="14"/>
        <v>Sep</v>
      </c>
      <c r="D920">
        <f>YEAR(SalesData[[#This Row],[Date]])</f>
        <v>2024</v>
      </c>
      <c r="E920" t="s">
        <v>365</v>
      </c>
      <c r="F920" t="s">
        <v>367</v>
      </c>
      <c r="G920" t="s">
        <v>419</v>
      </c>
      <c r="H920" t="s">
        <v>489</v>
      </c>
      <c r="I920">
        <v>4986</v>
      </c>
      <c r="J920">
        <v>1.32</v>
      </c>
      <c r="K920">
        <v>6581.52</v>
      </c>
      <c r="L920">
        <v>0.94</v>
      </c>
      <c r="M920">
        <v>4686.84</v>
      </c>
      <c r="N920">
        <v>1894.68</v>
      </c>
    </row>
    <row r="921" spans="1:14" x14ac:dyDescent="0.25">
      <c r="A921">
        <v>920</v>
      </c>
      <c r="B921" t="s">
        <v>189</v>
      </c>
      <c r="C921" t="str">
        <f t="shared" si="14"/>
        <v>Jan</v>
      </c>
      <c r="D921">
        <f>YEAR(SalesData[[#This Row],[Date]])</f>
        <v>2024</v>
      </c>
      <c r="E921" t="s">
        <v>366</v>
      </c>
      <c r="F921" t="s">
        <v>367</v>
      </c>
      <c r="G921" t="s">
        <v>384</v>
      </c>
      <c r="H921" t="s">
        <v>473</v>
      </c>
      <c r="I921">
        <v>1614</v>
      </c>
      <c r="J921">
        <v>0.8</v>
      </c>
      <c r="K921">
        <v>1291.2</v>
      </c>
      <c r="L921">
        <v>0.52</v>
      </c>
      <c r="M921">
        <v>839.28</v>
      </c>
      <c r="N921">
        <v>451.92</v>
      </c>
    </row>
    <row r="922" spans="1:14" x14ac:dyDescent="0.25">
      <c r="A922">
        <v>921</v>
      </c>
      <c r="B922" t="s">
        <v>286</v>
      </c>
      <c r="C922" t="str">
        <f t="shared" si="14"/>
        <v>Jun</v>
      </c>
      <c r="D922">
        <f>YEAR(SalesData[[#This Row],[Date]])</f>
        <v>2024</v>
      </c>
      <c r="E922" t="s">
        <v>363</v>
      </c>
      <c r="F922" t="s">
        <v>370</v>
      </c>
      <c r="G922" t="s">
        <v>409</v>
      </c>
      <c r="H922" t="s">
        <v>480</v>
      </c>
      <c r="I922">
        <v>2544</v>
      </c>
      <c r="J922">
        <v>1.1599999999999999</v>
      </c>
      <c r="K922">
        <v>2951.04</v>
      </c>
      <c r="L922">
        <v>0.98</v>
      </c>
      <c r="M922">
        <v>2493.12</v>
      </c>
      <c r="N922">
        <v>457.92</v>
      </c>
    </row>
    <row r="923" spans="1:14" x14ac:dyDescent="0.25">
      <c r="A923">
        <v>922</v>
      </c>
      <c r="B923" t="s">
        <v>259</v>
      </c>
      <c r="C923" t="str">
        <f t="shared" si="14"/>
        <v>Nov</v>
      </c>
      <c r="D923">
        <f>YEAR(SalesData[[#This Row],[Date]])</f>
        <v>2024</v>
      </c>
      <c r="E923" t="s">
        <v>364</v>
      </c>
      <c r="F923" t="s">
        <v>368</v>
      </c>
      <c r="G923" t="s">
        <v>404</v>
      </c>
      <c r="H923" t="s">
        <v>473</v>
      </c>
      <c r="I923">
        <v>4418</v>
      </c>
      <c r="J923">
        <v>1.41</v>
      </c>
      <c r="K923">
        <v>6229.38</v>
      </c>
      <c r="L923">
        <v>0.89</v>
      </c>
      <c r="M923">
        <v>3932.02</v>
      </c>
      <c r="N923">
        <v>2297.36</v>
      </c>
    </row>
    <row r="924" spans="1:14" x14ac:dyDescent="0.25">
      <c r="A924">
        <v>923</v>
      </c>
      <c r="B924" t="s">
        <v>247</v>
      </c>
      <c r="C924" t="str">
        <f t="shared" si="14"/>
        <v>Mar</v>
      </c>
      <c r="D924">
        <f>YEAR(SalesData[[#This Row],[Date]])</f>
        <v>2024</v>
      </c>
      <c r="E924" t="s">
        <v>365</v>
      </c>
      <c r="F924" t="s">
        <v>370</v>
      </c>
      <c r="G924" t="s">
        <v>418</v>
      </c>
      <c r="H924" t="s">
        <v>486</v>
      </c>
      <c r="I924">
        <v>3895</v>
      </c>
      <c r="J924">
        <v>1.06</v>
      </c>
      <c r="K924">
        <v>4128.7</v>
      </c>
      <c r="L924">
        <v>0.74</v>
      </c>
      <c r="M924">
        <v>2882.3</v>
      </c>
      <c r="N924">
        <v>1246.4000000000001</v>
      </c>
    </row>
    <row r="925" spans="1:14" x14ac:dyDescent="0.25">
      <c r="A925">
        <v>924</v>
      </c>
      <c r="B925" t="s">
        <v>309</v>
      </c>
      <c r="C925" t="str">
        <f t="shared" si="14"/>
        <v>Jul</v>
      </c>
      <c r="D925">
        <f>YEAR(SalesData[[#This Row],[Date]])</f>
        <v>2024</v>
      </c>
      <c r="E925" t="s">
        <v>363</v>
      </c>
      <c r="F925" t="s">
        <v>368</v>
      </c>
      <c r="G925" t="s">
        <v>467</v>
      </c>
      <c r="H925" t="s">
        <v>476</v>
      </c>
      <c r="I925">
        <v>2373</v>
      </c>
      <c r="J925">
        <v>1.43</v>
      </c>
      <c r="K925">
        <v>3393.39</v>
      </c>
      <c r="L925">
        <v>1.21</v>
      </c>
      <c r="M925">
        <v>2871.33</v>
      </c>
      <c r="N925">
        <v>522.05999999999995</v>
      </c>
    </row>
    <row r="926" spans="1:14" x14ac:dyDescent="0.25">
      <c r="A926">
        <v>925</v>
      </c>
      <c r="B926" t="s">
        <v>244</v>
      </c>
      <c r="C926" t="str">
        <f t="shared" si="14"/>
        <v>Apr</v>
      </c>
      <c r="D926">
        <f>YEAR(SalesData[[#This Row],[Date]])</f>
        <v>2024</v>
      </c>
      <c r="E926" t="s">
        <v>366</v>
      </c>
      <c r="F926" t="s">
        <v>370</v>
      </c>
      <c r="G926" t="s">
        <v>456</v>
      </c>
      <c r="H926" t="s">
        <v>484</v>
      </c>
      <c r="I926">
        <v>4013</v>
      </c>
      <c r="J926">
        <v>1.22</v>
      </c>
      <c r="K926">
        <v>4895.8599999999997</v>
      </c>
      <c r="L926">
        <v>0.78</v>
      </c>
      <c r="M926">
        <v>3130.14</v>
      </c>
      <c r="N926">
        <v>1765.72</v>
      </c>
    </row>
    <row r="927" spans="1:14" x14ac:dyDescent="0.25">
      <c r="A927">
        <v>926</v>
      </c>
      <c r="B927" t="s">
        <v>153</v>
      </c>
      <c r="C927" t="str">
        <f t="shared" si="14"/>
        <v>Jul</v>
      </c>
      <c r="D927">
        <f>YEAR(SalesData[[#This Row],[Date]])</f>
        <v>2024</v>
      </c>
      <c r="E927" t="s">
        <v>363</v>
      </c>
      <c r="F927" t="s">
        <v>368</v>
      </c>
      <c r="G927" t="s">
        <v>447</v>
      </c>
      <c r="H927" t="s">
        <v>490</v>
      </c>
      <c r="I927">
        <v>4064</v>
      </c>
      <c r="J927">
        <v>1.34</v>
      </c>
      <c r="K927">
        <v>5445.76</v>
      </c>
      <c r="L927">
        <v>1.1100000000000001</v>
      </c>
      <c r="M927">
        <v>4511.04</v>
      </c>
      <c r="N927">
        <v>934.72</v>
      </c>
    </row>
    <row r="928" spans="1:14" x14ac:dyDescent="0.25">
      <c r="A928">
        <v>927</v>
      </c>
      <c r="B928" t="s">
        <v>129</v>
      </c>
      <c r="C928" t="str">
        <f t="shared" si="14"/>
        <v>Dec</v>
      </c>
      <c r="D928">
        <f>YEAR(SalesData[[#This Row],[Date]])</f>
        <v>2024</v>
      </c>
      <c r="E928" t="s">
        <v>363</v>
      </c>
      <c r="F928" t="s">
        <v>369</v>
      </c>
      <c r="G928" t="s">
        <v>373</v>
      </c>
      <c r="H928" t="s">
        <v>485</v>
      </c>
      <c r="I928">
        <v>2060</v>
      </c>
      <c r="J928">
        <v>1.46</v>
      </c>
      <c r="K928">
        <v>3007.6</v>
      </c>
      <c r="L928">
        <v>1.17</v>
      </c>
      <c r="M928">
        <v>2410.1999999999998</v>
      </c>
      <c r="N928">
        <v>597.4</v>
      </c>
    </row>
    <row r="929" spans="1:14" x14ac:dyDescent="0.25">
      <c r="A929">
        <v>928</v>
      </c>
      <c r="B929" t="s">
        <v>20</v>
      </c>
      <c r="C929" t="str">
        <f t="shared" si="14"/>
        <v>May</v>
      </c>
      <c r="D929">
        <f>YEAR(SalesData[[#This Row],[Date]])</f>
        <v>2024</v>
      </c>
      <c r="E929" t="s">
        <v>364</v>
      </c>
      <c r="F929" t="s">
        <v>370</v>
      </c>
      <c r="G929" t="s">
        <v>464</v>
      </c>
      <c r="H929" t="s">
        <v>474</v>
      </c>
      <c r="I929">
        <v>4033</v>
      </c>
      <c r="J929">
        <v>1.4</v>
      </c>
      <c r="K929">
        <v>5646.2</v>
      </c>
      <c r="L929">
        <v>1.05</v>
      </c>
      <c r="M929">
        <v>4234.6499999999996</v>
      </c>
      <c r="N929">
        <v>1411.55</v>
      </c>
    </row>
    <row r="930" spans="1:14" x14ac:dyDescent="0.25">
      <c r="A930">
        <v>929</v>
      </c>
      <c r="B930" t="s">
        <v>287</v>
      </c>
      <c r="C930" t="str">
        <f t="shared" si="14"/>
        <v>May</v>
      </c>
      <c r="D930">
        <f>YEAR(SalesData[[#This Row],[Date]])</f>
        <v>2024</v>
      </c>
      <c r="E930" t="s">
        <v>364</v>
      </c>
      <c r="F930" t="s">
        <v>368</v>
      </c>
      <c r="G930" t="s">
        <v>401</v>
      </c>
      <c r="H930" t="s">
        <v>481</v>
      </c>
      <c r="I930">
        <v>1695</v>
      </c>
      <c r="J930">
        <v>0.82</v>
      </c>
      <c r="K930">
        <v>1389.9</v>
      </c>
      <c r="L930">
        <v>0.69</v>
      </c>
      <c r="M930">
        <v>1169.55</v>
      </c>
      <c r="N930">
        <v>220.35</v>
      </c>
    </row>
    <row r="931" spans="1:14" x14ac:dyDescent="0.25">
      <c r="A931">
        <v>930</v>
      </c>
      <c r="B931" t="s">
        <v>67</v>
      </c>
      <c r="C931" t="str">
        <f t="shared" si="14"/>
        <v>Apr</v>
      </c>
      <c r="D931">
        <f>YEAR(SalesData[[#This Row],[Date]])</f>
        <v>2024</v>
      </c>
      <c r="E931" t="s">
        <v>366</v>
      </c>
      <c r="F931" t="s">
        <v>369</v>
      </c>
      <c r="G931" t="s">
        <v>466</v>
      </c>
      <c r="H931" t="s">
        <v>479</v>
      </c>
      <c r="I931">
        <v>4253</v>
      </c>
      <c r="J931">
        <v>0.86</v>
      </c>
      <c r="K931">
        <v>3657.58</v>
      </c>
      <c r="L931">
        <v>0.62</v>
      </c>
      <c r="M931">
        <v>2636.86</v>
      </c>
      <c r="N931">
        <v>1020.72</v>
      </c>
    </row>
    <row r="932" spans="1:14" x14ac:dyDescent="0.25">
      <c r="A932">
        <v>931</v>
      </c>
      <c r="B932" t="s">
        <v>359</v>
      </c>
      <c r="C932" t="str">
        <f t="shared" si="14"/>
        <v>Jun</v>
      </c>
      <c r="D932">
        <f>YEAR(SalesData[[#This Row],[Date]])</f>
        <v>2024</v>
      </c>
      <c r="E932" t="s">
        <v>366</v>
      </c>
      <c r="F932" t="s">
        <v>369</v>
      </c>
      <c r="G932" t="s">
        <v>390</v>
      </c>
      <c r="H932" t="s">
        <v>484</v>
      </c>
      <c r="I932">
        <v>3967</v>
      </c>
      <c r="J932">
        <v>1.32</v>
      </c>
      <c r="K932">
        <v>5236.4399999999996</v>
      </c>
      <c r="L932">
        <v>0.88</v>
      </c>
      <c r="M932">
        <v>3490.96</v>
      </c>
      <c r="N932">
        <v>1745.48</v>
      </c>
    </row>
    <row r="933" spans="1:14" x14ac:dyDescent="0.25">
      <c r="A933">
        <v>932</v>
      </c>
      <c r="B933" t="s">
        <v>227</v>
      </c>
      <c r="C933" t="str">
        <f t="shared" si="14"/>
        <v>Feb</v>
      </c>
      <c r="D933">
        <f>YEAR(SalesData[[#This Row],[Date]])</f>
        <v>2024</v>
      </c>
      <c r="E933" t="s">
        <v>363</v>
      </c>
      <c r="F933" t="s">
        <v>367</v>
      </c>
      <c r="G933" t="s">
        <v>423</v>
      </c>
      <c r="H933" t="s">
        <v>477</v>
      </c>
      <c r="I933">
        <v>4357</v>
      </c>
      <c r="J933">
        <v>1.44</v>
      </c>
      <c r="K933">
        <v>6274.08</v>
      </c>
      <c r="L933">
        <v>1.22</v>
      </c>
      <c r="M933">
        <v>5315.54</v>
      </c>
      <c r="N933">
        <v>958.54</v>
      </c>
    </row>
    <row r="934" spans="1:14" x14ac:dyDescent="0.25">
      <c r="A934">
        <v>933</v>
      </c>
      <c r="B934" t="s">
        <v>214</v>
      </c>
      <c r="C934" t="str">
        <f t="shared" si="14"/>
        <v>Dec</v>
      </c>
      <c r="D934">
        <f>YEAR(SalesData[[#This Row],[Date]])</f>
        <v>2024</v>
      </c>
      <c r="E934" t="s">
        <v>363</v>
      </c>
      <c r="F934" t="s">
        <v>367</v>
      </c>
      <c r="G934" t="s">
        <v>408</v>
      </c>
      <c r="H934" t="s">
        <v>490</v>
      </c>
      <c r="I934">
        <v>3620</v>
      </c>
      <c r="J934">
        <v>1.01</v>
      </c>
      <c r="K934">
        <v>3656.2</v>
      </c>
      <c r="L934">
        <v>0.71</v>
      </c>
      <c r="M934">
        <v>2570.1999999999998</v>
      </c>
      <c r="N934">
        <v>1086</v>
      </c>
    </row>
    <row r="935" spans="1:14" x14ac:dyDescent="0.25">
      <c r="A935">
        <v>934</v>
      </c>
      <c r="B935" t="s">
        <v>349</v>
      </c>
      <c r="C935" t="str">
        <f t="shared" si="14"/>
        <v>Jul</v>
      </c>
      <c r="D935">
        <f>YEAR(SalesData[[#This Row],[Date]])</f>
        <v>2024</v>
      </c>
      <c r="E935" t="s">
        <v>363</v>
      </c>
      <c r="F935" t="s">
        <v>368</v>
      </c>
      <c r="G935" t="s">
        <v>461</v>
      </c>
      <c r="H935" t="s">
        <v>480</v>
      </c>
      <c r="I935">
        <v>2632</v>
      </c>
      <c r="J935">
        <v>0.92</v>
      </c>
      <c r="K935">
        <v>2421.44</v>
      </c>
      <c r="L935">
        <v>0.67</v>
      </c>
      <c r="M935">
        <v>1763.44</v>
      </c>
      <c r="N935">
        <v>658</v>
      </c>
    </row>
    <row r="936" spans="1:14" x14ac:dyDescent="0.25">
      <c r="A936">
        <v>935</v>
      </c>
      <c r="B936" t="s">
        <v>312</v>
      </c>
      <c r="C936" t="str">
        <f t="shared" si="14"/>
        <v>Jun</v>
      </c>
      <c r="D936">
        <f>YEAR(SalesData[[#This Row],[Date]])</f>
        <v>2024</v>
      </c>
      <c r="E936" t="s">
        <v>366</v>
      </c>
      <c r="F936" t="s">
        <v>369</v>
      </c>
      <c r="G936" t="s">
        <v>437</v>
      </c>
      <c r="H936" t="s">
        <v>487</v>
      </c>
      <c r="I936">
        <v>4845</v>
      </c>
      <c r="J936">
        <v>1.1000000000000001</v>
      </c>
      <c r="K936">
        <v>5329.5</v>
      </c>
      <c r="L936">
        <v>0.73</v>
      </c>
      <c r="M936">
        <v>3536.85</v>
      </c>
      <c r="N936">
        <v>1792.65</v>
      </c>
    </row>
    <row r="937" spans="1:14" x14ac:dyDescent="0.25">
      <c r="A937">
        <v>936</v>
      </c>
      <c r="B937" t="s">
        <v>150</v>
      </c>
      <c r="C937" t="str">
        <f t="shared" si="14"/>
        <v>Jun</v>
      </c>
      <c r="D937">
        <f>YEAR(SalesData[[#This Row],[Date]])</f>
        <v>2024</v>
      </c>
      <c r="E937" t="s">
        <v>366</v>
      </c>
      <c r="F937" t="s">
        <v>367</v>
      </c>
      <c r="G937" t="s">
        <v>460</v>
      </c>
      <c r="H937" t="s">
        <v>471</v>
      </c>
      <c r="I937">
        <v>3453</v>
      </c>
      <c r="J937">
        <v>1.45</v>
      </c>
      <c r="K937">
        <v>5006.8500000000004</v>
      </c>
      <c r="L937">
        <v>0.97</v>
      </c>
      <c r="M937">
        <v>3349.41</v>
      </c>
      <c r="N937">
        <v>1657.44</v>
      </c>
    </row>
    <row r="938" spans="1:14" x14ac:dyDescent="0.25">
      <c r="A938">
        <v>937</v>
      </c>
      <c r="B938" t="s">
        <v>26</v>
      </c>
      <c r="C938" t="str">
        <f t="shared" si="14"/>
        <v>May</v>
      </c>
      <c r="D938">
        <f>YEAR(SalesData[[#This Row],[Date]])</f>
        <v>2024</v>
      </c>
      <c r="E938" t="s">
        <v>365</v>
      </c>
      <c r="F938" t="s">
        <v>370</v>
      </c>
      <c r="G938" t="s">
        <v>416</v>
      </c>
      <c r="H938" t="s">
        <v>480</v>
      </c>
      <c r="I938">
        <v>3084</v>
      </c>
      <c r="J938">
        <v>1.32</v>
      </c>
      <c r="K938">
        <v>4070.88</v>
      </c>
      <c r="L938">
        <v>0.95</v>
      </c>
      <c r="M938">
        <v>2929.8</v>
      </c>
      <c r="N938">
        <v>1141.08</v>
      </c>
    </row>
    <row r="939" spans="1:14" x14ac:dyDescent="0.25">
      <c r="A939">
        <v>938</v>
      </c>
      <c r="B939" t="s">
        <v>360</v>
      </c>
      <c r="C939" t="str">
        <f t="shared" si="14"/>
        <v>Mar</v>
      </c>
      <c r="D939">
        <f>YEAR(SalesData[[#This Row],[Date]])</f>
        <v>2024</v>
      </c>
      <c r="E939" t="s">
        <v>363</v>
      </c>
      <c r="F939" t="s">
        <v>369</v>
      </c>
      <c r="G939" t="s">
        <v>395</v>
      </c>
      <c r="H939" t="s">
        <v>474</v>
      </c>
      <c r="I939">
        <v>947</v>
      </c>
      <c r="J939">
        <v>0.96</v>
      </c>
      <c r="K939">
        <v>909.12</v>
      </c>
      <c r="L939">
        <v>0.57999999999999996</v>
      </c>
      <c r="M939">
        <v>549.26</v>
      </c>
      <c r="N939">
        <v>359.86</v>
      </c>
    </row>
    <row r="940" spans="1:14" x14ac:dyDescent="0.25">
      <c r="A940">
        <v>939</v>
      </c>
      <c r="B940" t="s">
        <v>59</v>
      </c>
      <c r="C940" t="str">
        <f t="shared" si="14"/>
        <v>May</v>
      </c>
      <c r="D940">
        <f>YEAR(SalesData[[#This Row],[Date]])</f>
        <v>2024</v>
      </c>
      <c r="E940" t="s">
        <v>364</v>
      </c>
      <c r="F940" t="s">
        <v>368</v>
      </c>
      <c r="G940" t="s">
        <v>416</v>
      </c>
      <c r="H940" t="s">
        <v>488</v>
      </c>
      <c r="I940">
        <v>4554</v>
      </c>
      <c r="J940">
        <v>0.83</v>
      </c>
      <c r="K940">
        <v>3779.82</v>
      </c>
      <c r="L940">
        <v>0.56999999999999995</v>
      </c>
      <c r="M940">
        <v>2595.7800000000002</v>
      </c>
      <c r="N940">
        <v>1184.04</v>
      </c>
    </row>
    <row r="941" spans="1:14" x14ac:dyDescent="0.25">
      <c r="A941">
        <v>940</v>
      </c>
      <c r="B941" t="s">
        <v>187</v>
      </c>
      <c r="C941" t="str">
        <f t="shared" si="14"/>
        <v>Dec</v>
      </c>
      <c r="D941">
        <f>YEAR(SalesData[[#This Row],[Date]])</f>
        <v>2024</v>
      </c>
      <c r="E941" t="s">
        <v>364</v>
      </c>
      <c r="F941" t="s">
        <v>369</v>
      </c>
      <c r="G941" t="s">
        <v>460</v>
      </c>
      <c r="H941" t="s">
        <v>488</v>
      </c>
      <c r="I941">
        <v>1712</v>
      </c>
      <c r="J941">
        <v>0.89</v>
      </c>
      <c r="K941">
        <v>1523.68</v>
      </c>
      <c r="L941">
        <v>0.55000000000000004</v>
      </c>
      <c r="M941">
        <v>941.6</v>
      </c>
      <c r="N941">
        <v>582.08000000000004</v>
      </c>
    </row>
    <row r="942" spans="1:14" x14ac:dyDescent="0.25">
      <c r="A942">
        <v>941</v>
      </c>
      <c r="B942" t="s">
        <v>333</v>
      </c>
      <c r="C942" t="str">
        <f t="shared" si="14"/>
        <v>May</v>
      </c>
      <c r="D942">
        <f>YEAR(SalesData[[#This Row],[Date]])</f>
        <v>2024</v>
      </c>
      <c r="E942" t="s">
        <v>366</v>
      </c>
      <c r="F942" t="s">
        <v>368</v>
      </c>
      <c r="G942" t="s">
        <v>432</v>
      </c>
      <c r="H942" t="s">
        <v>490</v>
      </c>
      <c r="I942">
        <v>2734</v>
      </c>
      <c r="J942">
        <v>1.19</v>
      </c>
      <c r="K942">
        <v>3253.46</v>
      </c>
      <c r="L942">
        <v>0.91</v>
      </c>
      <c r="M942">
        <v>2487.94</v>
      </c>
      <c r="N942">
        <v>765.52</v>
      </c>
    </row>
    <row r="943" spans="1:14" x14ac:dyDescent="0.25">
      <c r="A943">
        <v>942</v>
      </c>
      <c r="B943" t="s">
        <v>148</v>
      </c>
      <c r="C943" t="str">
        <f t="shared" si="14"/>
        <v>Apr</v>
      </c>
      <c r="D943">
        <f>YEAR(SalesData[[#This Row],[Date]])</f>
        <v>2024</v>
      </c>
      <c r="E943" t="s">
        <v>366</v>
      </c>
      <c r="F943" t="s">
        <v>367</v>
      </c>
      <c r="G943" t="s">
        <v>419</v>
      </c>
      <c r="H943" t="s">
        <v>486</v>
      </c>
      <c r="I943">
        <v>2516</v>
      </c>
      <c r="J943">
        <v>1.34</v>
      </c>
      <c r="K943">
        <v>3371.44</v>
      </c>
      <c r="L943">
        <v>1.03</v>
      </c>
      <c r="M943">
        <v>2591.48</v>
      </c>
      <c r="N943">
        <v>779.96</v>
      </c>
    </row>
    <row r="944" spans="1:14" x14ac:dyDescent="0.25">
      <c r="A944">
        <v>943</v>
      </c>
      <c r="B944" t="s">
        <v>158</v>
      </c>
      <c r="C944" t="str">
        <f t="shared" si="14"/>
        <v>Jun</v>
      </c>
      <c r="D944">
        <f>YEAR(SalesData[[#This Row],[Date]])</f>
        <v>2024</v>
      </c>
      <c r="E944" t="s">
        <v>365</v>
      </c>
      <c r="F944" t="s">
        <v>367</v>
      </c>
      <c r="G944" t="s">
        <v>411</v>
      </c>
      <c r="H944" t="s">
        <v>488</v>
      </c>
      <c r="I944">
        <v>3729</v>
      </c>
      <c r="J944">
        <v>1.06</v>
      </c>
      <c r="K944">
        <v>3952.74</v>
      </c>
      <c r="L944">
        <v>0.88</v>
      </c>
      <c r="M944">
        <v>3281.52</v>
      </c>
      <c r="N944">
        <v>671.22</v>
      </c>
    </row>
    <row r="945" spans="1:14" x14ac:dyDescent="0.25">
      <c r="A945">
        <v>944</v>
      </c>
      <c r="B945" t="s">
        <v>225</v>
      </c>
      <c r="C945" t="str">
        <f t="shared" si="14"/>
        <v>Feb</v>
      </c>
      <c r="D945">
        <f>YEAR(SalesData[[#This Row],[Date]])</f>
        <v>2024</v>
      </c>
      <c r="E945" t="s">
        <v>366</v>
      </c>
      <c r="F945" t="s">
        <v>370</v>
      </c>
      <c r="G945" t="s">
        <v>435</v>
      </c>
      <c r="H945" t="s">
        <v>486</v>
      </c>
      <c r="I945">
        <v>4270</v>
      </c>
      <c r="J945">
        <v>1.38</v>
      </c>
      <c r="K945">
        <v>5892.6</v>
      </c>
      <c r="L945">
        <v>1.06</v>
      </c>
      <c r="M945">
        <v>4526.2</v>
      </c>
      <c r="N945">
        <v>1366.4</v>
      </c>
    </row>
    <row r="946" spans="1:14" x14ac:dyDescent="0.25">
      <c r="A946">
        <v>945</v>
      </c>
      <c r="B946" t="s">
        <v>134</v>
      </c>
      <c r="C946" t="str">
        <f t="shared" si="14"/>
        <v>Aug</v>
      </c>
      <c r="D946">
        <f>YEAR(SalesData[[#This Row],[Date]])</f>
        <v>2024</v>
      </c>
      <c r="E946" t="s">
        <v>363</v>
      </c>
      <c r="F946" t="s">
        <v>370</v>
      </c>
      <c r="G946" t="s">
        <v>423</v>
      </c>
      <c r="H946" t="s">
        <v>478</v>
      </c>
      <c r="I946">
        <v>4211</v>
      </c>
      <c r="J946">
        <v>1.03</v>
      </c>
      <c r="K946">
        <v>4337.33</v>
      </c>
      <c r="L946">
        <v>0.81</v>
      </c>
      <c r="M946">
        <v>3410.91</v>
      </c>
      <c r="N946">
        <v>926.42</v>
      </c>
    </row>
    <row r="947" spans="1:14" x14ac:dyDescent="0.25">
      <c r="A947">
        <v>946</v>
      </c>
      <c r="B947" t="s">
        <v>293</v>
      </c>
      <c r="C947" t="str">
        <f t="shared" si="14"/>
        <v>Oct</v>
      </c>
      <c r="D947">
        <f>YEAR(SalesData[[#This Row],[Date]])</f>
        <v>2024</v>
      </c>
      <c r="E947" t="s">
        <v>366</v>
      </c>
      <c r="F947" t="s">
        <v>368</v>
      </c>
      <c r="G947" t="s">
        <v>456</v>
      </c>
      <c r="H947" t="s">
        <v>482</v>
      </c>
      <c r="I947">
        <v>3147</v>
      </c>
      <c r="J947">
        <v>1.36</v>
      </c>
      <c r="K947">
        <v>4279.92</v>
      </c>
      <c r="L947">
        <v>1.07</v>
      </c>
      <c r="M947">
        <v>3367.29</v>
      </c>
      <c r="N947">
        <v>912.63</v>
      </c>
    </row>
    <row r="948" spans="1:14" x14ac:dyDescent="0.25">
      <c r="A948">
        <v>947</v>
      </c>
      <c r="B948" t="s">
        <v>64</v>
      </c>
      <c r="C948" t="str">
        <f t="shared" si="14"/>
        <v>Oct</v>
      </c>
      <c r="D948">
        <f>YEAR(SalesData[[#This Row],[Date]])</f>
        <v>2024</v>
      </c>
      <c r="E948" t="s">
        <v>363</v>
      </c>
      <c r="F948" t="s">
        <v>369</v>
      </c>
      <c r="G948" t="s">
        <v>413</v>
      </c>
      <c r="H948" t="s">
        <v>471</v>
      </c>
      <c r="I948">
        <v>1958</v>
      </c>
      <c r="J948">
        <v>0.97</v>
      </c>
      <c r="K948">
        <v>1899.26</v>
      </c>
      <c r="L948">
        <v>0.77</v>
      </c>
      <c r="M948">
        <v>1507.66</v>
      </c>
      <c r="N948">
        <v>391.6</v>
      </c>
    </row>
    <row r="949" spans="1:14" x14ac:dyDescent="0.25">
      <c r="A949">
        <v>948</v>
      </c>
      <c r="B949" t="s">
        <v>69</v>
      </c>
      <c r="C949" t="str">
        <f t="shared" si="14"/>
        <v>Jul</v>
      </c>
      <c r="D949">
        <f>YEAR(SalesData[[#This Row],[Date]])</f>
        <v>2024</v>
      </c>
      <c r="E949" t="s">
        <v>363</v>
      </c>
      <c r="F949" t="s">
        <v>367</v>
      </c>
      <c r="G949" t="s">
        <v>439</v>
      </c>
      <c r="H949" t="s">
        <v>480</v>
      </c>
      <c r="I949">
        <v>3682</v>
      </c>
      <c r="J949">
        <v>1.35</v>
      </c>
      <c r="K949">
        <v>4970.7</v>
      </c>
      <c r="L949">
        <v>0.91</v>
      </c>
      <c r="M949">
        <v>3350.62</v>
      </c>
      <c r="N949">
        <v>1620.08</v>
      </c>
    </row>
    <row r="950" spans="1:14" x14ac:dyDescent="0.25">
      <c r="A950">
        <v>949</v>
      </c>
      <c r="B950" t="s">
        <v>47</v>
      </c>
      <c r="C950" t="str">
        <f t="shared" si="14"/>
        <v>Nov</v>
      </c>
      <c r="D950">
        <f>YEAR(SalesData[[#This Row],[Date]])</f>
        <v>2024</v>
      </c>
      <c r="E950" t="s">
        <v>363</v>
      </c>
      <c r="F950" t="s">
        <v>368</v>
      </c>
      <c r="G950" t="s">
        <v>443</v>
      </c>
      <c r="H950" t="s">
        <v>483</v>
      </c>
      <c r="I950">
        <v>4041</v>
      </c>
      <c r="J950">
        <v>1.32</v>
      </c>
      <c r="K950">
        <v>5334.12</v>
      </c>
      <c r="L950">
        <v>1.1000000000000001</v>
      </c>
      <c r="M950">
        <v>4445.1000000000004</v>
      </c>
      <c r="N950">
        <v>889.02</v>
      </c>
    </row>
    <row r="951" spans="1:14" x14ac:dyDescent="0.25">
      <c r="A951">
        <v>950</v>
      </c>
      <c r="B951" t="s">
        <v>171</v>
      </c>
      <c r="C951" t="str">
        <f t="shared" si="14"/>
        <v>Dec</v>
      </c>
      <c r="D951">
        <f>YEAR(SalesData[[#This Row],[Date]])</f>
        <v>2024</v>
      </c>
      <c r="E951" t="s">
        <v>365</v>
      </c>
      <c r="F951" t="s">
        <v>368</v>
      </c>
      <c r="G951" t="s">
        <v>403</v>
      </c>
      <c r="H951" t="s">
        <v>488</v>
      </c>
      <c r="I951">
        <v>3510</v>
      </c>
      <c r="J951">
        <v>1.1599999999999999</v>
      </c>
      <c r="K951">
        <v>4071.6</v>
      </c>
      <c r="L951">
        <v>0.84</v>
      </c>
      <c r="M951">
        <v>2948.4</v>
      </c>
      <c r="N951">
        <v>1123.2</v>
      </c>
    </row>
    <row r="952" spans="1:14" x14ac:dyDescent="0.25">
      <c r="A952">
        <v>951</v>
      </c>
      <c r="B952" t="s">
        <v>155</v>
      </c>
      <c r="C952" t="str">
        <f t="shared" si="14"/>
        <v>Jul</v>
      </c>
      <c r="D952">
        <f>YEAR(SalesData[[#This Row],[Date]])</f>
        <v>2024</v>
      </c>
      <c r="E952" t="s">
        <v>365</v>
      </c>
      <c r="F952" t="s">
        <v>369</v>
      </c>
      <c r="G952" t="s">
        <v>433</v>
      </c>
      <c r="H952" t="s">
        <v>489</v>
      </c>
      <c r="I952">
        <v>3965</v>
      </c>
      <c r="J952">
        <v>0.86</v>
      </c>
      <c r="K952">
        <v>3409.9</v>
      </c>
      <c r="L952">
        <v>0.61</v>
      </c>
      <c r="M952">
        <v>2418.65</v>
      </c>
      <c r="N952">
        <v>991.25</v>
      </c>
    </row>
    <row r="953" spans="1:14" x14ac:dyDescent="0.25">
      <c r="A953">
        <v>952</v>
      </c>
      <c r="B953" t="s">
        <v>153</v>
      </c>
      <c r="C953" t="str">
        <f t="shared" si="14"/>
        <v>Jul</v>
      </c>
      <c r="D953">
        <f>YEAR(SalesData[[#This Row],[Date]])</f>
        <v>2024</v>
      </c>
      <c r="E953" t="s">
        <v>364</v>
      </c>
      <c r="F953" t="s">
        <v>368</v>
      </c>
      <c r="G953" t="s">
        <v>384</v>
      </c>
      <c r="H953" t="s">
        <v>481</v>
      </c>
      <c r="I953">
        <v>1261</v>
      </c>
      <c r="J953">
        <v>0.83</v>
      </c>
      <c r="K953">
        <v>1046.6300000000001</v>
      </c>
      <c r="L953">
        <v>0.56999999999999995</v>
      </c>
      <c r="M953">
        <v>718.77</v>
      </c>
      <c r="N953">
        <v>327.86</v>
      </c>
    </row>
    <row r="954" spans="1:14" x14ac:dyDescent="0.25">
      <c r="A954">
        <v>953</v>
      </c>
      <c r="B954" t="s">
        <v>191</v>
      </c>
      <c r="C954" t="str">
        <f t="shared" si="14"/>
        <v>Aug</v>
      </c>
      <c r="D954">
        <f>YEAR(SalesData[[#This Row],[Date]])</f>
        <v>2024</v>
      </c>
      <c r="E954" t="s">
        <v>366</v>
      </c>
      <c r="F954" t="s">
        <v>368</v>
      </c>
      <c r="G954" t="s">
        <v>460</v>
      </c>
      <c r="H954" t="s">
        <v>490</v>
      </c>
      <c r="I954">
        <v>4798</v>
      </c>
      <c r="J954">
        <v>0.86</v>
      </c>
      <c r="K954">
        <v>4126.28</v>
      </c>
      <c r="L954">
        <v>0.62</v>
      </c>
      <c r="M954">
        <v>2974.76</v>
      </c>
      <c r="N954">
        <v>1151.52</v>
      </c>
    </row>
    <row r="955" spans="1:14" x14ac:dyDescent="0.25">
      <c r="A955">
        <v>954</v>
      </c>
      <c r="B955" t="s">
        <v>175</v>
      </c>
      <c r="C955" t="str">
        <f t="shared" si="14"/>
        <v>Feb</v>
      </c>
      <c r="D955">
        <f>YEAR(SalesData[[#This Row],[Date]])</f>
        <v>2024</v>
      </c>
      <c r="E955" t="s">
        <v>365</v>
      </c>
      <c r="F955" t="s">
        <v>369</v>
      </c>
      <c r="G955" t="s">
        <v>399</v>
      </c>
      <c r="H955" t="s">
        <v>474</v>
      </c>
      <c r="I955">
        <v>2960</v>
      </c>
      <c r="J955">
        <v>1.39</v>
      </c>
      <c r="K955">
        <v>4114.3999999999996</v>
      </c>
      <c r="L955">
        <v>1.02</v>
      </c>
      <c r="M955">
        <v>3019.2</v>
      </c>
      <c r="N955">
        <v>1095.2</v>
      </c>
    </row>
    <row r="956" spans="1:14" x14ac:dyDescent="0.25">
      <c r="A956">
        <v>955</v>
      </c>
      <c r="B956" t="s">
        <v>126</v>
      </c>
      <c r="C956" t="str">
        <f t="shared" si="14"/>
        <v>May</v>
      </c>
      <c r="D956">
        <f>YEAR(SalesData[[#This Row],[Date]])</f>
        <v>2024</v>
      </c>
      <c r="E956" t="s">
        <v>363</v>
      </c>
      <c r="F956" t="s">
        <v>367</v>
      </c>
      <c r="G956" t="s">
        <v>377</v>
      </c>
      <c r="H956" t="s">
        <v>490</v>
      </c>
      <c r="I956">
        <v>1381</v>
      </c>
      <c r="J956">
        <v>1.1599999999999999</v>
      </c>
      <c r="K956">
        <v>1601.96</v>
      </c>
      <c r="L956">
        <v>0.82</v>
      </c>
      <c r="M956">
        <v>1132.42</v>
      </c>
      <c r="N956">
        <v>469.54</v>
      </c>
    </row>
    <row r="957" spans="1:14" x14ac:dyDescent="0.25">
      <c r="A957">
        <v>956</v>
      </c>
      <c r="B957" t="s">
        <v>191</v>
      </c>
      <c r="C957" t="str">
        <f t="shared" si="14"/>
        <v>Aug</v>
      </c>
      <c r="D957">
        <f>YEAR(SalesData[[#This Row],[Date]])</f>
        <v>2024</v>
      </c>
      <c r="E957" t="s">
        <v>365</v>
      </c>
      <c r="F957" t="s">
        <v>370</v>
      </c>
      <c r="G957" t="s">
        <v>408</v>
      </c>
      <c r="H957" t="s">
        <v>479</v>
      </c>
      <c r="I957">
        <v>1169</v>
      </c>
      <c r="J957">
        <v>1.34</v>
      </c>
      <c r="K957">
        <v>1566.46</v>
      </c>
      <c r="L957">
        <v>0.81</v>
      </c>
      <c r="M957">
        <v>946.89</v>
      </c>
      <c r="N957">
        <v>619.57000000000005</v>
      </c>
    </row>
    <row r="958" spans="1:14" x14ac:dyDescent="0.25">
      <c r="A958">
        <v>957</v>
      </c>
      <c r="B958" t="s">
        <v>102</v>
      </c>
      <c r="C958" t="str">
        <f t="shared" si="14"/>
        <v>Dec</v>
      </c>
      <c r="D958">
        <f>YEAR(SalesData[[#This Row],[Date]])</f>
        <v>2024</v>
      </c>
      <c r="E958" t="s">
        <v>366</v>
      </c>
      <c r="F958" t="s">
        <v>369</v>
      </c>
      <c r="G958" t="s">
        <v>401</v>
      </c>
      <c r="H958" t="s">
        <v>484</v>
      </c>
      <c r="I958">
        <v>870</v>
      </c>
      <c r="J958">
        <v>0.86</v>
      </c>
      <c r="K958">
        <v>748.2</v>
      </c>
      <c r="L958">
        <v>0.7</v>
      </c>
      <c r="M958">
        <v>609</v>
      </c>
      <c r="N958">
        <v>139.19999999999999</v>
      </c>
    </row>
    <row r="959" spans="1:14" x14ac:dyDescent="0.25">
      <c r="A959">
        <v>958</v>
      </c>
      <c r="B959" t="s">
        <v>76</v>
      </c>
      <c r="C959" t="str">
        <f t="shared" si="14"/>
        <v>Jun</v>
      </c>
      <c r="D959">
        <f>YEAR(SalesData[[#This Row],[Date]])</f>
        <v>2024</v>
      </c>
      <c r="E959" t="s">
        <v>364</v>
      </c>
      <c r="F959" t="s">
        <v>370</v>
      </c>
      <c r="G959" t="s">
        <v>463</v>
      </c>
      <c r="H959" t="s">
        <v>473</v>
      </c>
      <c r="I959">
        <v>2671</v>
      </c>
      <c r="J959">
        <v>1.04</v>
      </c>
      <c r="K959">
        <v>2777.84</v>
      </c>
      <c r="L959">
        <v>0.86</v>
      </c>
      <c r="M959">
        <v>2297.06</v>
      </c>
      <c r="N959">
        <v>480.78</v>
      </c>
    </row>
    <row r="960" spans="1:14" x14ac:dyDescent="0.25">
      <c r="A960">
        <v>959</v>
      </c>
      <c r="B960" t="s">
        <v>181</v>
      </c>
      <c r="C960" t="str">
        <f t="shared" si="14"/>
        <v>Apr</v>
      </c>
      <c r="D960">
        <f>YEAR(SalesData[[#This Row],[Date]])</f>
        <v>2024</v>
      </c>
      <c r="E960" t="s">
        <v>366</v>
      </c>
      <c r="F960" t="s">
        <v>368</v>
      </c>
      <c r="G960" t="s">
        <v>376</v>
      </c>
      <c r="H960" t="s">
        <v>489</v>
      </c>
      <c r="I960">
        <v>2624</v>
      </c>
      <c r="J960">
        <v>1.41</v>
      </c>
      <c r="K960">
        <v>3699.84</v>
      </c>
      <c r="L960">
        <v>0.88</v>
      </c>
      <c r="M960">
        <v>2309.12</v>
      </c>
      <c r="N960">
        <v>1390.72</v>
      </c>
    </row>
    <row r="961" spans="1:14" x14ac:dyDescent="0.25">
      <c r="A961">
        <v>960</v>
      </c>
      <c r="B961" t="s">
        <v>218</v>
      </c>
      <c r="C961" t="str">
        <f t="shared" si="14"/>
        <v>Sep</v>
      </c>
      <c r="D961">
        <f>YEAR(SalesData[[#This Row],[Date]])</f>
        <v>2024</v>
      </c>
      <c r="E961" t="s">
        <v>363</v>
      </c>
      <c r="F961" t="s">
        <v>367</v>
      </c>
      <c r="G961" t="s">
        <v>455</v>
      </c>
      <c r="H961" t="s">
        <v>488</v>
      </c>
      <c r="I961">
        <v>608</v>
      </c>
      <c r="J961">
        <v>0.92</v>
      </c>
      <c r="K961">
        <v>559.36</v>
      </c>
      <c r="L961">
        <v>0.66</v>
      </c>
      <c r="M961">
        <v>401.28</v>
      </c>
      <c r="N961">
        <v>158.08000000000001</v>
      </c>
    </row>
    <row r="962" spans="1:14" x14ac:dyDescent="0.25">
      <c r="A962">
        <v>961</v>
      </c>
      <c r="B962" t="s">
        <v>237</v>
      </c>
      <c r="C962" t="str">
        <f t="shared" ref="C962:C1001" si="15">TEXT(B962,"mmm")</f>
        <v>Dec</v>
      </c>
      <c r="D962">
        <f>YEAR(SalesData[[#This Row],[Date]])</f>
        <v>2024</v>
      </c>
      <c r="E962" t="s">
        <v>364</v>
      </c>
      <c r="F962" t="s">
        <v>369</v>
      </c>
      <c r="G962" t="s">
        <v>443</v>
      </c>
      <c r="H962" t="s">
        <v>489</v>
      </c>
      <c r="I962">
        <v>3455</v>
      </c>
      <c r="J962">
        <v>1.28</v>
      </c>
      <c r="K962">
        <v>4422.3999999999996</v>
      </c>
      <c r="L962">
        <v>1.08</v>
      </c>
      <c r="M962">
        <v>3731.4</v>
      </c>
      <c r="N962">
        <v>691</v>
      </c>
    </row>
    <row r="963" spans="1:14" x14ac:dyDescent="0.25">
      <c r="A963">
        <v>962</v>
      </c>
      <c r="B963" t="s">
        <v>361</v>
      </c>
      <c r="C963" t="str">
        <f t="shared" si="15"/>
        <v>Dec</v>
      </c>
      <c r="D963">
        <f>YEAR(SalesData[[#This Row],[Date]])</f>
        <v>2024</v>
      </c>
      <c r="E963" t="s">
        <v>365</v>
      </c>
      <c r="F963" t="s">
        <v>369</v>
      </c>
      <c r="G963" t="s">
        <v>437</v>
      </c>
      <c r="H963" t="s">
        <v>474</v>
      </c>
      <c r="I963">
        <v>1606</v>
      </c>
      <c r="J963">
        <v>0.81</v>
      </c>
      <c r="K963">
        <v>1300.8599999999999</v>
      </c>
      <c r="L963">
        <v>0.51</v>
      </c>
      <c r="M963">
        <v>819.06</v>
      </c>
      <c r="N963">
        <v>481.8</v>
      </c>
    </row>
    <row r="964" spans="1:14" x14ac:dyDescent="0.25">
      <c r="A964">
        <v>963</v>
      </c>
      <c r="B964" t="s">
        <v>170</v>
      </c>
      <c r="C964" t="str">
        <f t="shared" si="15"/>
        <v>Jan</v>
      </c>
      <c r="D964">
        <f>YEAR(SalesData[[#This Row],[Date]])</f>
        <v>2024</v>
      </c>
      <c r="E964" t="s">
        <v>363</v>
      </c>
      <c r="F964" t="s">
        <v>368</v>
      </c>
      <c r="G964" t="s">
        <v>439</v>
      </c>
      <c r="H964" t="s">
        <v>483</v>
      </c>
      <c r="I964">
        <v>1689</v>
      </c>
      <c r="J964">
        <v>1.25</v>
      </c>
      <c r="K964">
        <v>2111.25</v>
      </c>
      <c r="L964">
        <v>0.89</v>
      </c>
      <c r="M964">
        <v>1503.21</v>
      </c>
      <c r="N964">
        <v>608.04</v>
      </c>
    </row>
    <row r="965" spans="1:14" x14ac:dyDescent="0.25">
      <c r="A965">
        <v>964</v>
      </c>
      <c r="B965" t="s">
        <v>72</v>
      </c>
      <c r="C965" t="str">
        <f t="shared" si="15"/>
        <v>Nov</v>
      </c>
      <c r="D965">
        <f>YEAR(SalesData[[#This Row],[Date]])</f>
        <v>2024</v>
      </c>
      <c r="E965" t="s">
        <v>363</v>
      </c>
      <c r="F965" t="s">
        <v>368</v>
      </c>
      <c r="G965" t="s">
        <v>443</v>
      </c>
      <c r="H965" t="s">
        <v>473</v>
      </c>
      <c r="I965">
        <v>1713</v>
      </c>
      <c r="J965">
        <v>1.1299999999999999</v>
      </c>
      <c r="K965">
        <v>1935.69</v>
      </c>
      <c r="L965">
        <v>0.68</v>
      </c>
      <c r="M965">
        <v>1164.8399999999999</v>
      </c>
      <c r="N965">
        <v>770.85</v>
      </c>
    </row>
    <row r="966" spans="1:14" x14ac:dyDescent="0.25">
      <c r="A966">
        <v>965</v>
      </c>
      <c r="B966" t="s">
        <v>249</v>
      </c>
      <c r="C966" t="str">
        <f t="shared" si="15"/>
        <v>Mar</v>
      </c>
      <c r="D966">
        <f>YEAR(SalesData[[#This Row],[Date]])</f>
        <v>2024</v>
      </c>
      <c r="E966" t="s">
        <v>364</v>
      </c>
      <c r="F966" t="s">
        <v>368</v>
      </c>
      <c r="G966" t="s">
        <v>387</v>
      </c>
      <c r="H966" t="s">
        <v>483</v>
      </c>
      <c r="I966">
        <v>660</v>
      </c>
      <c r="J966">
        <v>1.4</v>
      </c>
      <c r="K966">
        <v>924</v>
      </c>
      <c r="L966">
        <v>1.04</v>
      </c>
      <c r="M966">
        <v>686.4</v>
      </c>
      <c r="N966">
        <v>237.6</v>
      </c>
    </row>
    <row r="967" spans="1:14" x14ac:dyDescent="0.25">
      <c r="A967">
        <v>966</v>
      </c>
      <c r="B967" t="s">
        <v>254</v>
      </c>
      <c r="C967" t="str">
        <f t="shared" si="15"/>
        <v>Apr</v>
      </c>
      <c r="D967">
        <f>YEAR(SalesData[[#This Row],[Date]])</f>
        <v>2024</v>
      </c>
      <c r="E967" t="s">
        <v>364</v>
      </c>
      <c r="F967" t="s">
        <v>370</v>
      </c>
      <c r="G967" t="s">
        <v>456</v>
      </c>
      <c r="H967" t="s">
        <v>487</v>
      </c>
      <c r="I967">
        <v>564</v>
      </c>
      <c r="J967">
        <v>0.87</v>
      </c>
      <c r="K967">
        <v>490.68</v>
      </c>
      <c r="L967">
        <v>0.71</v>
      </c>
      <c r="M967">
        <v>400.44</v>
      </c>
      <c r="N967">
        <v>90.24</v>
      </c>
    </row>
    <row r="968" spans="1:14" x14ac:dyDescent="0.25">
      <c r="A968">
        <v>967</v>
      </c>
      <c r="B968" t="s">
        <v>105</v>
      </c>
      <c r="C968" t="str">
        <f t="shared" si="15"/>
        <v>Aug</v>
      </c>
      <c r="D968">
        <f>YEAR(SalesData[[#This Row],[Date]])</f>
        <v>2024</v>
      </c>
      <c r="E968" t="s">
        <v>364</v>
      </c>
      <c r="F968" t="s">
        <v>369</v>
      </c>
      <c r="G968" t="s">
        <v>371</v>
      </c>
      <c r="H968" t="s">
        <v>479</v>
      </c>
      <c r="I968">
        <v>2882</v>
      </c>
      <c r="J968">
        <v>0.83</v>
      </c>
      <c r="K968">
        <v>2392.06</v>
      </c>
      <c r="L968">
        <v>0.57999999999999996</v>
      </c>
      <c r="M968">
        <v>1671.56</v>
      </c>
      <c r="N968">
        <v>720.5</v>
      </c>
    </row>
    <row r="969" spans="1:14" x14ac:dyDescent="0.25">
      <c r="A969">
        <v>968</v>
      </c>
      <c r="B969" t="s">
        <v>362</v>
      </c>
      <c r="C969" t="str">
        <f t="shared" si="15"/>
        <v>Sep</v>
      </c>
      <c r="D969">
        <f>YEAR(SalesData[[#This Row],[Date]])</f>
        <v>2024</v>
      </c>
      <c r="E969" t="s">
        <v>366</v>
      </c>
      <c r="F969" t="s">
        <v>369</v>
      </c>
      <c r="G969" t="s">
        <v>390</v>
      </c>
      <c r="H969" t="s">
        <v>478</v>
      </c>
      <c r="I969">
        <v>4827</v>
      </c>
      <c r="J969">
        <v>0.81</v>
      </c>
      <c r="K969">
        <v>3909.87</v>
      </c>
      <c r="L969">
        <v>0.6</v>
      </c>
      <c r="M969">
        <v>2896.2</v>
      </c>
      <c r="N969">
        <v>1013.67</v>
      </c>
    </row>
    <row r="970" spans="1:14" x14ac:dyDescent="0.25">
      <c r="A970">
        <v>969</v>
      </c>
      <c r="B970" t="s">
        <v>48</v>
      </c>
      <c r="C970" t="str">
        <f t="shared" si="15"/>
        <v>Oct</v>
      </c>
      <c r="D970">
        <f>YEAR(SalesData[[#This Row],[Date]])</f>
        <v>2024</v>
      </c>
      <c r="E970" t="s">
        <v>365</v>
      </c>
      <c r="F970" t="s">
        <v>367</v>
      </c>
      <c r="G970" t="s">
        <v>431</v>
      </c>
      <c r="H970" t="s">
        <v>481</v>
      </c>
      <c r="I970">
        <v>4377</v>
      </c>
      <c r="J970">
        <v>0.88</v>
      </c>
      <c r="K970">
        <v>3851.76</v>
      </c>
      <c r="L970">
        <v>0.66</v>
      </c>
      <c r="M970">
        <v>2888.82</v>
      </c>
      <c r="N970">
        <v>962.94</v>
      </c>
    </row>
    <row r="971" spans="1:14" x14ac:dyDescent="0.25">
      <c r="A971">
        <v>970</v>
      </c>
      <c r="B971" t="s">
        <v>45</v>
      </c>
      <c r="C971" t="str">
        <f t="shared" si="15"/>
        <v>Nov</v>
      </c>
      <c r="D971">
        <f>YEAR(SalesData[[#This Row],[Date]])</f>
        <v>2024</v>
      </c>
      <c r="E971" t="s">
        <v>364</v>
      </c>
      <c r="F971" t="s">
        <v>370</v>
      </c>
      <c r="G971" t="s">
        <v>429</v>
      </c>
      <c r="H971" t="s">
        <v>481</v>
      </c>
      <c r="I971">
        <v>670</v>
      </c>
      <c r="J971">
        <v>0.91</v>
      </c>
      <c r="K971">
        <v>609.70000000000005</v>
      </c>
      <c r="L971">
        <v>0.71</v>
      </c>
      <c r="M971">
        <v>475.7</v>
      </c>
      <c r="N971">
        <v>134</v>
      </c>
    </row>
    <row r="972" spans="1:14" x14ac:dyDescent="0.25">
      <c r="A972">
        <v>971</v>
      </c>
      <c r="B972" t="s">
        <v>56</v>
      </c>
      <c r="C972" t="str">
        <f t="shared" si="15"/>
        <v>Aug</v>
      </c>
      <c r="D972">
        <f>YEAR(SalesData[[#This Row],[Date]])</f>
        <v>2024</v>
      </c>
      <c r="E972" t="s">
        <v>364</v>
      </c>
      <c r="F972" t="s">
        <v>370</v>
      </c>
      <c r="G972" t="s">
        <v>465</v>
      </c>
      <c r="H972" t="s">
        <v>490</v>
      </c>
      <c r="I972">
        <v>2299</v>
      </c>
      <c r="J972">
        <v>1.21</v>
      </c>
      <c r="K972">
        <v>2781.79</v>
      </c>
      <c r="L972">
        <v>0.93</v>
      </c>
      <c r="M972">
        <v>2138.0700000000002</v>
      </c>
      <c r="N972">
        <v>643.72</v>
      </c>
    </row>
    <row r="973" spans="1:14" x14ac:dyDescent="0.25">
      <c r="A973">
        <v>972</v>
      </c>
      <c r="B973" t="s">
        <v>157</v>
      </c>
      <c r="C973" t="str">
        <f t="shared" si="15"/>
        <v>Nov</v>
      </c>
      <c r="D973">
        <f>YEAR(SalesData[[#This Row],[Date]])</f>
        <v>2024</v>
      </c>
      <c r="E973" t="s">
        <v>366</v>
      </c>
      <c r="F973" t="s">
        <v>369</v>
      </c>
      <c r="G973" t="s">
        <v>386</v>
      </c>
      <c r="H973" t="s">
        <v>484</v>
      </c>
      <c r="I973">
        <v>3914</v>
      </c>
      <c r="J973">
        <v>1.38</v>
      </c>
      <c r="K973">
        <v>5401.32</v>
      </c>
      <c r="L973">
        <v>1.06</v>
      </c>
      <c r="M973">
        <v>4148.84</v>
      </c>
      <c r="N973">
        <v>1252.48</v>
      </c>
    </row>
    <row r="974" spans="1:14" x14ac:dyDescent="0.25">
      <c r="A974">
        <v>973</v>
      </c>
      <c r="B974" t="s">
        <v>284</v>
      </c>
      <c r="C974" t="str">
        <f t="shared" si="15"/>
        <v>Jul</v>
      </c>
      <c r="D974">
        <f>YEAR(SalesData[[#This Row],[Date]])</f>
        <v>2024</v>
      </c>
      <c r="E974" t="s">
        <v>366</v>
      </c>
      <c r="F974" t="s">
        <v>369</v>
      </c>
      <c r="G974" t="s">
        <v>402</v>
      </c>
      <c r="H974" t="s">
        <v>485</v>
      </c>
      <c r="I974">
        <v>2813</v>
      </c>
      <c r="J974">
        <v>1.28</v>
      </c>
      <c r="K974">
        <v>3600.64</v>
      </c>
      <c r="L974">
        <v>0.8</v>
      </c>
      <c r="M974">
        <v>2250.4</v>
      </c>
      <c r="N974">
        <v>1350.24</v>
      </c>
    </row>
    <row r="975" spans="1:14" x14ac:dyDescent="0.25">
      <c r="A975">
        <v>974</v>
      </c>
      <c r="B975" t="s">
        <v>242</v>
      </c>
      <c r="C975" t="str">
        <f t="shared" si="15"/>
        <v>Sep</v>
      </c>
      <c r="D975">
        <f>YEAR(SalesData[[#This Row],[Date]])</f>
        <v>2024</v>
      </c>
      <c r="E975" t="s">
        <v>366</v>
      </c>
      <c r="F975" t="s">
        <v>368</v>
      </c>
      <c r="G975" t="s">
        <v>418</v>
      </c>
      <c r="H975" t="s">
        <v>480</v>
      </c>
      <c r="I975">
        <v>4531</v>
      </c>
      <c r="J975">
        <v>0.87</v>
      </c>
      <c r="K975">
        <v>3941.97</v>
      </c>
      <c r="L975">
        <v>0.61</v>
      </c>
      <c r="M975">
        <v>2763.91</v>
      </c>
      <c r="N975">
        <v>1178.06</v>
      </c>
    </row>
    <row r="976" spans="1:14" x14ac:dyDescent="0.25">
      <c r="A976">
        <v>975</v>
      </c>
      <c r="B976" t="s">
        <v>272</v>
      </c>
      <c r="C976" t="str">
        <f t="shared" si="15"/>
        <v>Sep</v>
      </c>
      <c r="D976">
        <f>YEAR(SalesData[[#This Row],[Date]])</f>
        <v>2024</v>
      </c>
      <c r="E976" t="s">
        <v>366</v>
      </c>
      <c r="F976" t="s">
        <v>370</v>
      </c>
      <c r="G976" t="s">
        <v>439</v>
      </c>
      <c r="H976" t="s">
        <v>476</v>
      </c>
      <c r="I976">
        <v>885</v>
      </c>
      <c r="J976">
        <v>1.5</v>
      </c>
      <c r="K976">
        <v>1327.5</v>
      </c>
      <c r="L976">
        <v>1.03</v>
      </c>
      <c r="M976">
        <v>911.55</v>
      </c>
      <c r="N976">
        <v>415.95</v>
      </c>
    </row>
    <row r="977" spans="1:14" x14ac:dyDescent="0.25">
      <c r="A977">
        <v>976</v>
      </c>
      <c r="B977" t="s">
        <v>59</v>
      </c>
      <c r="C977" t="str">
        <f t="shared" si="15"/>
        <v>May</v>
      </c>
      <c r="D977">
        <f>YEAR(SalesData[[#This Row],[Date]])</f>
        <v>2024</v>
      </c>
      <c r="E977" t="s">
        <v>366</v>
      </c>
      <c r="F977" t="s">
        <v>370</v>
      </c>
      <c r="G977" t="s">
        <v>445</v>
      </c>
      <c r="H977" t="s">
        <v>490</v>
      </c>
      <c r="I977">
        <v>761</v>
      </c>
      <c r="J977">
        <v>1.36</v>
      </c>
      <c r="K977">
        <v>1034.96</v>
      </c>
      <c r="L977">
        <v>0.93</v>
      </c>
      <c r="M977">
        <v>707.73</v>
      </c>
      <c r="N977">
        <v>327.23</v>
      </c>
    </row>
    <row r="978" spans="1:14" x14ac:dyDescent="0.25">
      <c r="A978">
        <v>977</v>
      </c>
      <c r="B978" t="s">
        <v>128</v>
      </c>
      <c r="C978" t="str">
        <f t="shared" si="15"/>
        <v>Feb</v>
      </c>
      <c r="D978">
        <f>YEAR(SalesData[[#This Row],[Date]])</f>
        <v>2024</v>
      </c>
      <c r="E978" t="s">
        <v>363</v>
      </c>
      <c r="F978" t="s">
        <v>368</v>
      </c>
      <c r="G978" t="s">
        <v>421</v>
      </c>
      <c r="H978" t="s">
        <v>477</v>
      </c>
      <c r="I978">
        <v>4484</v>
      </c>
      <c r="J978">
        <v>0.98</v>
      </c>
      <c r="K978">
        <v>4394.32</v>
      </c>
      <c r="L978">
        <v>0.67</v>
      </c>
      <c r="M978">
        <v>3004.28</v>
      </c>
      <c r="N978">
        <v>1390.04</v>
      </c>
    </row>
    <row r="979" spans="1:14" x14ac:dyDescent="0.25">
      <c r="A979">
        <v>978</v>
      </c>
      <c r="B979" t="s">
        <v>35</v>
      </c>
      <c r="C979" t="str">
        <f t="shared" si="15"/>
        <v>Jun</v>
      </c>
      <c r="D979">
        <f>YEAR(SalesData[[#This Row],[Date]])</f>
        <v>2024</v>
      </c>
      <c r="E979" t="s">
        <v>365</v>
      </c>
      <c r="F979" t="s">
        <v>367</v>
      </c>
      <c r="G979" t="s">
        <v>399</v>
      </c>
      <c r="H979" t="s">
        <v>490</v>
      </c>
      <c r="I979">
        <v>1353</v>
      </c>
      <c r="J979">
        <v>1.29</v>
      </c>
      <c r="K979">
        <v>1745.37</v>
      </c>
      <c r="L979">
        <v>1.07</v>
      </c>
      <c r="M979">
        <v>1447.71</v>
      </c>
      <c r="N979">
        <v>297.66000000000003</v>
      </c>
    </row>
    <row r="980" spans="1:14" x14ac:dyDescent="0.25">
      <c r="A980">
        <v>979</v>
      </c>
      <c r="B980" t="s">
        <v>31</v>
      </c>
      <c r="C980" t="str">
        <f t="shared" si="15"/>
        <v>Aug</v>
      </c>
      <c r="D980">
        <f>YEAR(SalesData[[#This Row],[Date]])</f>
        <v>2024</v>
      </c>
      <c r="E980" t="s">
        <v>363</v>
      </c>
      <c r="F980" t="s">
        <v>369</v>
      </c>
      <c r="G980" t="s">
        <v>450</v>
      </c>
      <c r="H980" t="s">
        <v>489</v>
      </c>
      <c r="I980">
        <v>1334</v>
      </c>
      <c r="J980">
        <v>1.38</v>
      </c>
      <c r="K980">
        <v>1840.92</v>
      </c>
      <c r="L980">
        <v>0.84</v>
      </c>
      <c r="M980">
        <v>1120.56</v>
      </c>
      <c r="N980">
        <v>720.36</v>
      </c>
    </row>
    <row r="981" spans="1:14" x14ac:dyDescent="0.25">
      <c r="A981">
        <v>980</v>
      </c>
      <c r="B981" t="s">
        <v>279</v>
      </c>
      <c r="C981" t="str">
        <f t="shared" si="15"/>
        <v>Feb</v>
      </c>
      <c r="D981">
        <f>YEAR(SalesData[[#This Row],[Date]])</f>
        <v>2024</v>
      </c>
      <c r="E981" t="s">
        <v>363</v>
      </c>
      <c r="F981" t="s">
        <v>368</v>
      </c>
      <c r="G981" t="s">
        <v>439</v>
      </c>
      <c r="H981" t="s">
        <v>475</v>
      </c>
      <c r="I981">
        <v>1786</v>
      </c>
      <c r="J981">
        <v>1.31</v>
      </c>
      <c r="K981">
        <v>2339.66</v>
      </c>
      <c r="L981">
        <v>1.02</v>
      </c>
      <c r="M981">
        <v>1821.72</v>
      </c>
      <c r="N981">
        <v>517.94000000000005</v>
      </c>
    </row>
    <row r="982" spans="1:14" x14ac:dyDescent="0.25">
      <c r="A982">
        <v>981</v>
      </c>
      <c r="B982" t="s">
        <v>358</v>
      </c>
      <c r="C982" t="str">
        <f t="shared" si="15"/>
        <v>Sep</v>
      </c>
      <c r="D982">
        <f>YEAR(SalesData[[#This Row],[Date]])</f>
        <v>2024</v>
      </c>
      <c r="E982" t="s">
        <v>363</v>
      </c>
      <c r="F982" t="s">
        <v>369</v>
      </c>
      <c r="G982" t="s">
        <v>399</v>
      </c>
      <c r="H982" t="s">
        <v>475</v>
      </c>
      <c r="I982">
        <v>3241</v>
      </c>
      <c r="J982">
        <v>1.37</v>
      </c>
      <c r="K982">
        <v>4440.17</v>
      </c>
      <c r="L982">
        <v>0.86</v>
      </c>
      <c r="M982">
        <v>2787.26</v>
      </c>
      <c r="N982">
        <v>1652.91</v>
      </c>
    </row>
    <row r="983" spans="1:14" x14ac:dyDescent="0.25">
      <c r="A983">
        <v>982</v>
      </c>
      <c r="B983" t="s">
        <v>254</v>
      </c>
      <c r="C983" t="str">
        <f t="shared" si="15"/>
        <v>Apr</v>
      </c>
      <c r="D983">
        <f>YEAR(SalesData[[#This Row],[Date]])</f>
        <v>2024</v>
      </c>
      <c r="E983" t="s">
        <v>364</v>
      </c>
      <c r="F983" t="s">
        <v>369</v>
      </c>
      <c r="G983" t="s">
        <v>380</v>
      </c>
      <c r="H983" t="s">
        <v>472</v>
      </c>
      <c r="I983">
        <v>2509</v>
      </c>
      <c r="J983">
        <v>1.38</v>
      </c>
      <c r="K983">
        <v>3462.42</v>
      </c>
      <c r="L983">
        <v>0.99</v>
      </c>
      <c r="M983">
        <v>2483.91</v>
      </c>
      <c r="N983">
        <v>978.51</v>
      </c>
    </row>
    <row r="984" spans="1:14" x14ac:dyDescent="0.25">
      <c r="A984">
        <v>983</v>
      </c>
      <c r="B984" t="s">
        <v>40</v>
      </c>
      <c r="C984" t="str">
        <f t="shared" si="15"/>
        <v>May</v>
      </c>
      <c r="D984">
        <f>YEAR(SalesData[[#This Row],[Date]])</f>
        <v>2024</v>
      </c>
      <c r="E984" t="s">
        <v>363</v>
      </c>
      <c r="F984" t="s">
        <v>368</v>
      </c>
      <c r="G984" t="s">
        <v>412</v>
      </c>
      <c r="H984" t="s">
        <v>475</v>
      </c>
      <c r="I984">
        <v>3899</v>
      </c>
      <c r="J984">
        <v>1.05</v>
      </c>
      <c r="K984">
        <v>4093.95</v>
      </c>
      <c r="L984">
        <v>0.8</v>
      </c>
      <c r="M984">
        <v>3119.2</v>
      </c>
      <c r="N984">
        <v>974.75</v>
      </c>
    </row>
    <row r="985" spans="1:14" x14ac:dyDescent="0.25">
      <c r="A985">
        <v>984</v>
      </c>
      <c r="B985" t="s">
        <v>360</v>
      </c>
      <c r="C985" t="str">
        <f t="shared" si="15"/>
        <v>Mar</v>
      </c>
      <c r="D985">
        <f>YEAR(SalesData[[#This Row],[Date]])</f>
        <v>2024</v>
      </c>
      <c r="E985" t="s">
        <v>366</v>
      </c>
      <c r="F985" t="s">
        <v>369</v>
      </c>
      <c r="G985" t="s">
        <v>457</v>
      </c>
      <c r="H985" t="s">
        <v>481</v>
      </c>
      <c r="I985">
        <v>3886</v>
      </c>
      <c r="J985">
        <v>1.44</v>
      </c>
      <c r="K985">
        <v>5595.84</v>
      </c>
      <c r="L985">
        <v>1.19</v>
      </c>
      <c r="M985">
        <v>4624.34</v>
      </c>
      <c r="N985">
        <v>971.5</v>
      </c>
    </row>
    <row r="986" spans="1:14" x14ac:dyDescent="0.25">
      <c r="A986">
        <v>985</v>
      </c>
      <c r="B986" t="s">
        <v>162</v>
      </c>
      <c r="C986" t="str">
        <f t="shared" si="15"/>
        <v>Sep</v>
      </c>
      <c r="D986">
        <f>YEAR(SalesData[[#This Row],[Date]])</f>
        <v>2024</v>
      </c>
      <c r="E986" t="s">
        <v>363</v>
      </c>
      <c r="F986" t="s">
        <v>370</v>
      </c>
      <c r="G986" t="s">
        <v>396</v>
      </c>
      <c r="H986" t="s">
        <v>474</v>
      </c>
      <c r="I986">
        <v>581</v>
      </c>
      <c r="J986">
        <v>1.3</v>
      </c>
      <c r="K986">
        <v>755.3</v>
      </c>
      <c r="L986">
        <v>0.95</v>
      </c>
      <c r="M986">
        <v>551.95000000000005</v>
      </c>
      <c r="N986">
        <v>203.35</v>
      </c>
    </row>
    <row r="987" spans="1:14" x14ac:dyDescent="0.25">
      <c r="A987">
        <v>986</v>
      </c>
      <c r="B987" t="s">
        <v>29</v>
      </c>
      <c r="C987" t="str">
        <f t="shared" si="15"/>
        <v>Feb</v>
      </c>
      <c r="D987">
        <f>YEAR(SalesData[[#This Row],[Date]])</f>
        <v>2024</v>
      </c>
      <c r="E987" t="s">
        <v>365</v>
      </c>
      <c r="F987" t="s">
        <v>367</v>
      </c>
      <c r="G987" t="s">
        <v>404</v>
      </c>
      <c r="H987" t="s">
        <v>484</v>
      </c>
      <c r="I987">
        <v>1846</v>
      </c>
      <c r="J987">
        <v>1.1000000000000001</v>
      </c>
      <c r="K987">
        <v>2030.6</v>
      </c>
      <c r="L987">
        <v>0.77</v>
      </c>
      <c r="M987">
        <v>1421.42</v>
      </c>
      <c r="N987">
        <v>609.17999999999995</v>
      </c>
    </row>
    <row r="988" spans="1:14" x14ac:dyDescent="0.25">
      <c r="A988">
        <v>987</v>
      </c>
      <c r="B988" t="s">
        <v>263</v>
      </c>
      <c r="C988" t="str">
        <f t="shared" si="15"/>
        <v>Jan</v>
      </c>
      <c r="D988">
        <f>YEAR(SalesData[[#This Row],[Date]])</f>
        <v>2024</v>
      </c>
      <c r="E988" t="s">
        <v>363</v>
      </c>
      <c r="F988" t="s">
        <v>368</v>
      </c>
      <c r="G988" t="s">
        <v>384</v>
      </c>
      <c r="H988" t="s">
        <v>490</v>
      </c>
      <c r="I988">
        <v>2922</v>
      </c>
      <c r="J988">
        <v>1.0900000000000001</v>
      </c>
      <c r="K988">
        <v>3184.98</v>
      </c>
      <c r="L988">
        <v>0.9</v>
      </c>
      <c r="M988">
        <v>2629.8</v>
      </c>
      <c r="N988">
        <v>555.17999999999995</v>
      </c>
    </row>
    <row r="989" spans="1:14" x14ac:dyDescent="0.25">
      <c r="A989">
        <v>988</v>
      </c>
      <c r="B989" t="s">
        <v>82</v>
      </c>
      <c r="C989" t="str">
        <f t="shared" si="15"/>
        <v>Dec</v>
      </c>
      <c r="D989">
        <f>YEAR(SalesData[[#This Row],[Date]])</f>
        <v>2024</v>
      </c>
      <c r="E989" t="s">
        <v>365</v>
      </c>
      <c r="F989" t="s">
        <v>370</v>
      </c>
      <c r="G989" t="s">
        <v>452</v>
      </c>
      <c r="H989" t="s">
        <v>472</v>
      </c>
      <c r="I989">
        <v>2791</v>
      </c>
      <c r="J989">
        <v>1.43</v>
      </c>
      <c r="K989">
        <v>3991.13</v>
      </c>
      <c r="L989">
        <v>1.08</v>
      </c>
      <c r="M989">
        <v>3014.28</v>
      </c>
      <c r="N989">
        <v>976.85</v>
      </c>
    </row>
    <row r="990" spans="1:14" x14ac:dyDescent="0.25">
      <c r="A990">
        <v>989</v>
      </c>
      <c r="B990" t="s">
        <v>140</v>
      </c>
      <c r="C990" t="str">
        <f t="shared" si="15"/>
        <v>Mar</v>
      </c>
      <c r="D990">
        <f>YEAR(SalesData[[#This Row],[Date]])</f>
        <v>2024</v>
      </c>
      <c r="E990" t="s">
        <v>364</v>
      </c>
      <c r="F990" t="s">
        <v>369</v>
      </c>
      <c r="G990" t="s">
        <v>431</v>
      </c>
      <c r="H990" t="s">
        <v>485</v>
      </c>
      <c r="I990">
        <v>4959</v>
      </c>
      <c r="J990">
        <v>1.24</v>
      </c>
      <c r="K990">
        <v>6149.16</v>
      </c>
      <c r="L990">
        <v>0.94</v>
      </c>
      <c r="M990">
        <v>4661.46</v>
      </c>
      <c r="N990">
        <v>1487.7</v>
      </c>
    </row>
    <row r="991" spans="1:14" x14ac:dyDescent="0.25">
      <c r="A991">
        <v>990</v>
      </c>
      <c r="B991" t="s">
        <v>326</v>
      </c>
      <c r="C991" t="str">
        <f t="shared" si="15"/>
        <v>Aug</v>
      </c>
      <c r="D991">
        <f>YEAR(SalesData[[#This Row],[Date]])</f>
        <v>2024</v>
      </c>
      <c r="E991" t="s">
        <v>364</v>
      </c>
      <c r="F991" t="s">
        <v>370</v>
      </c>
      <c r="G991" t="s">
        <v>427</v>
      </c>
      <c r="H991" t="s">
        <v>485</v>
      </c>
      <c r="I991">
        <v>2970</v>
      </c>
      <c r="J991">
        <v>0.86</v>
      </c>
      <c r="K991">
        <v>2554.1999999999998</v>
      </c>
      <c r="L991">
        <v>0.63</v>
      </c>
      <c r="M991">
        <v>1871.1</v>
      </c>
      <c r="N991">
        <v>683.1</v>
      </c>
    </row>
    <row r="992" spans="1:14" x14ac:dyDescent="0.25">
      <c r="A992">
        <v>991</v>
      </c>
      <c r="B992" t="s">
        <v>232</v>
      </c>
      <c r="C992" t="str">
        <f t="shared" si="15"/>
        <v>Jul</v>
      </c>
      <c r="D992">
        <f>YEAR(SalesData[[#This Row],[Date]])</f>
        <v>2024</v>
      </c>
      <c r="E992" t="s">
        <v>365</v>
      </c>
      <c r="F992" t="s">
        <v>368</v>
      </c>
      <c r="G992" t="s">
        <v>381</v>
      </c>
      <c r="H992" t="s">
        <v>486</v>
      </c>
      <c r="I992">
        <v>4691</v>
      </c>
      <c r="J992">
        <v>1.19</v>
      </c>
      <c r="K992">
        <v>5582.29</v>
      </c>
      <c r="L992">
        <v>0.87</v>
      </c>
      <c r="M992">
        <v>4081.17</v>
      </c>
      <c r="N992">
        <v>1501.12</v>
      </c>
    </row>
    <row r="993" spans="1:14" x14ac:dyDescent="0.25">
      <c r="A993">
        <v>992</v>
      </c>
      <c r="B993" t="s">
        <v>277</v>
      </c>
      <c r="C993" t="str">
        <f t="shared" si="15"/>
        <v>Nov</v>
      </c>
      <c r="D993">
        <f>YEAR(SalesData[[#This Row],[Date]])</f>
        <v>2024</v>
      </c>
      <c r="E993" t="s">
        <v>363</v>
      </c>
      <c r="F993" t="s">
        <v>368</v>
      </c>
      <c r="G993" t="s">
        <v>435</v>
      </c>
      <c r="H993" t="s">
        <v>476</v>
      </c>
      <c r="I993">
        <v>2619</v>
      </c>
      <c r="J993">
        <v>0.97</v>
      </c>
      <c r="K993">
        <v>2540.4299999999998</v>
      </c>
      <c r="L993">
        <v>0.77</v>
      </c>
      <c r="M993">
        <v>2016.63</v>
      </c>
      <c r="N993">
        <v>523.79999999999995</v>
      </c>
    </row>
    <row r="994" spans="1:14" x14ac:dyDescent="0.25">
      <c r="A994">
        <v>993</v>
      </c>
      <c r="B994" t="s">
        <v>30</v>
      </c>
      <c r="C994" t="str">
        <f t="shared" si="15"/>
        <v>Aug</v>
      </c>
      <c r="D994">
        <f>YEAR(SalesData[[#This Row],[Date]])</f>
        <v>2024</v>
      </c>
      <c r="E994" t="s">
        <v>363</v>
      </c>
      <c r="F994" t="s">
        <v>367</v>
      </c>
      <c r="G994" t="s">
        <v>466</v>
      </c>
      <c r="H994" t="s">
        <v>471</v>
      </c>
      <c r="I994">
        <v>4657</v>
      </c>
      <c r="J994">
        <v>1.05</v>
      </c>
      <c r="K994">
        <v>4889.8500000000004</v>
      </c>
      <c r="L994">
        <v>0.64</v>
      </c>
      <c r="M994">
        <v>2980.48</v>
      </c>
      <c r="N994">
        <v>1909.37</v>
      </c>
    </row>
    <row r="995" spans="1:14" x14ac:dyDescent="0.25">
      <c r="A995">
        <v>994</v>
      </c>
      <c r="B995" t="s">
        <v>115</v>
      </c>
      <c r="C995" t="str">
        <f t="shared" si="15"/>
        <v>Nov</v>
      </c>
      <c r="D995">
        <f>YEAR(SalesData[[#This Row],[Date]])</f>
        <v>2024</v>
      </c>
      <c r="E995" t="s">
        <v>364</v>
      </c>
      <c r="F995" t="s">
        <v>367</v>
      </c>
      <c r="G995" t="s">
        <v>443</v>
      </c>
      <c r="H995" t="s">
        <v>479</v>
      </c>
      <c r="I995">
        <v>542</v>
      </c>
      <c r="J995">
        <v>1.1200000000000001</v>
      </c>
      <c r="K995">
        <v>607.04</v>
      </c>
      <c r="L995">
        <v>0.95</v>
      </c>
      <c r="M995">
        <v>514.9</v>
      </c>
      <c r="N995">
        <v>92.14</v>
      </c>
    </row>
    <row r="996" spans="1:14" x14ac:dyDescent="0.25">
      <c r="A996">
        <v>995</v>
      </c>
      <c r="B996" t="s">
        <v>343</v>
      </c>
      <c r="C996" t="str">
        <f t="shared" si="15"/>
        <v>Oct</v>
      </c>
      <c r="D996">
        <f>YEAR(SalesData[[#This Row],[Date]])</f>
        <v>2024</v>
      </c>
      <c r="E996" t="s">
        <v>365</v>
      </c>
      <c r="F996" t="s">
        <v>368</v>
      </c>
      <c r="G996" t="s">
        <v>443</v>
      </c>
      <c r="H996" t="s">
        <v>482</v>
      </c>
      <c r="I996">
        <v>1646</v>
      </c>
      <c r="J996">
        <v>1.3</v>
      </c>
      <c r="K996">
        <v>2139.8000000000002</v>
      </c>
      <c r="L996">
        <v>0.95</v>
      </c>
      <c r="M996">
        <v>1563.7</v>
      </c>
      <c r="N996">
        <v>576.1</v>
      </c>
    </row>
    <row r="997" spans="1:14" x14ac:dyDescent="0.25">
      <c r="A997">
        <v>996</v>
      </c>
      <c r="B997" t="s">
        <v>231</v>
      </c>
      <c r="C997" t="str">
        <f t="shared" si="15"/>
        <v>May</v>
      </c>
      <c r="D997">
        <f>YEAR(SalesData[[#This Row],[Date]])</f>
        <v>2024</v>
      </c>
      <c r="E997" t="s">
        <v>365</v>
      </c>
      <c r="F997" t="s">
        <v>367</v>
      </c>
      <c r="G997" t="s">
        <v>430</v>
      </c>
      <c r="H997" t="s">
        <v>479</v>
      </c>
      <c r="I997">
        <v>2077</v>
      </c>
      <c r="J997">
        <v>1.38</v>
      </c>
      <c r="K997">
        <v>2866.26</v>
      </c>
      <c r="L997">
        <v>0.95</v>
      </c>
      <c r="M997">
        <v>1973.15</v>
      </c>
      <c r="N997">
        <v>893.11</v>
      </c>
    </row>
    <row r="998" spans="1:14" x14ac:dyDescent="0.25">
      <c r="A998">
        <v>997</v>
      </c>
      <c r="B998" t="s">
        <v>330</v>
      </c>
      <c r="C998" t="str">
        <f t="shared" si="15"/>
        <v>Feb</v>
      </c>
      <c r="D998">
        <f>YEAR(SalesData[[#This Row],[Date]])</f>
        <v>2024</v>
      </c>
      <c r="E998" t="s">
        <v>364</v>
      </c>
      <c r="F998" t="s">
        <v>368</v>
      </c>
      <c r="G998" t="s">
        <v>438</v>
      </c>
      <c r="H998" t="s">
        <v>486</v>
      </c>
      <c r="I998">
        <v>1255</v>
      </c>
      <c r="J998">
        <v>0.84</v>
      </c>
      <c r="K998">
        <v>1054.2</v>
      </c>
      <c r="L998">
        <v>0.69</v>
      </c>
      <c r="M998">
        <v>865.95</v>
      </c>
      <c r="N998">
        <v>188.25</v>
      </c>
    </row>
    <row r="999" spans="1:14" x14ac:dyDescent="0.25">
      <c r="A999">
        <v>998</v>
      </c>
      <c r="B999" t="s">
        <v>317</v>
      </c>
      <c r="C999" t="str">
        <f t="shared" si="15"/>
        <v>Aug</v>
      </c>
      <c r="D999">
        <f>YEAR(SalesData[[#This Row],[Date]])</f>
        <v>2024</v>
      </c>
      <c r="E999" t="s">
        <v>364</v>
      </c>
      <c r="F999" t="s">
        <v>368</v>
      </c>
      <c r="G999" t="s">
        <v>392</v>
      </c>
      <c r="H999" t="s">
        <v>475</v>
      </c>
      <c r="I999">
        <v>4811</v>
      </c>
      <c r="J999">
        <v>1.08</v>
      </c>
      <c r="K999">
        <v>5195.88</v>
      </c>
      <c r="L999">
        <v>0.8</v>
      </c>
      <c r="M999">
        <v>3848.8</v>
      </c>
      <c r="N999">
        <v>1347.08</v>
      </c>
    </row>
    <row r="1000" spans="1:14" x14ac:dyDescent="0.25">
      <c r="A1000">
        <v>999</v>
      </c>
      <c r="B1000" t="s">
        <v>325</v>
      </c>
      <c r="C1000" t="str">
        <f t="shared" si="15"/>
        <v>Jul</v>
      </c>
      <c r="D1000">
        <f>YEAR(SalesData[[#This Row],[Date]])</f>
        <v>2024</v>
      </c>
      <c r="E1000" t="s">
        <v>364</v>
      </c>
      <c r="F1000" t="s">
        <v>370</v>
      </c>
      <c r="G1000" t="s">
        <v>436</v>
      </c>
      <c r="H1000" t="s">
        <v>481</v>
      </c>
      <c r="I1000">
        <v>4105</v>
      </c>
      <c r="J1000">
        <v>1.28</v>
      </c>
      <c r="K1000">
        <v>5254.4</v>
      </c>
      <c r="L1000">
        <v>1.07</v>
      </c>
      <c r="M1000">
        <v>4392.3500000000004</v>
      </c>
      <c r="N1000">
        <v>862.05</v>
      </c>
    </row>
    <row r="1001" spans="1:14" x14ac:dyDescent="0.25">
      <c r="A1001">
        <v>1000</v>
      </c>
      <c r="B1001" t="s">
        <v>190</v>
      </c>
      <c r="C1001" t="str">
        <f t="shared" si="15"/>
        <v>Aug</v>
      </c>
      <c r="D1001">
        <f>YEAR(SalesData[[#This Row],[Date]])</f>
        <v>2024</v>
      </c>
      <c r="E1001" t="s">
        <v>366</v>
      </c>
      <c r="F1001" t="s">
        <v>368</v>
      </c>
      <c r="G1001" t="s">
        <v>405</v>
      </c>
      <c r="H1001" t="s">
        <v>474</v>
      </c>
      <c r="I1001">
        <v>4471</v>
      </c>
      <c r="J1001">
        <v>1.3</v>
      </c>
      <c r="K1001">
        <v>5812.3</v>
      </c>
      <c r="L1001">
        <v>0.82</v>
      </c>
      <c r="M1001">
        <v>3666.22</v>
      </c>
      <c r="N1001">
        <v>2146.08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08604-CBE8-4AE3-A001-3EA5417BAE8F}">
  <dimension ref="A1:J61"/>
  <sheetViews>
    <sheetView tabSelected="1" topLeftCell="B14" zoomScale="78" zoomScaleNormal="78" workbookViewId="0">
      <selection activeCell="W14" sqref="W14"/>
    </sheetView>
  </sheetViews>
  <sheetFormatPr defaultRowHeight="15" x14ac:dyDescent="0.25"/>
  <cols>
    <col min="1" max="1" width="13.140625" bestFit="1" customWidth="1"/>
    <col min="2" max="2" width="24.28515625" bestFit="1" customWidth="1"/>
    <col min="3" max="3" width="12.5703125" bestFit="1" customWidth="1"/>
    <col min="5" max="5" width="18.42578125" bestFit="1" customWidth="1"/>
    <col min="8" max="8" width="13.42578125" bestFit="1" customWidth="1"/>
    <col min="10" max="10" width="15.5703125" bestFit="1" customWidth="1"/>
  </cols>
  <sheetData>
    <row r="1" spans="1:10" x14ac:dyDescent="0.25">
      <c r="A1" s="3" t="s">
        <v>497</v>
      </c>
    </row>
    <row r="2" spans="1:10" x14ac:dyDescent="0.25">
      <c r="B2" s="3" t="s">
        <v>493</v>
      </c>
      <c r="E2" s="3" t="s">
        <v>494</v>
      </c>
      <c r="H2" s="3" t="s">
        <v>495</v>
      </c>
      <c r="J2" s="3" t="s">
        <v>496</v>
      </c>
    </row>
    <row r="3" spans="1:10" x14ac:dyDescent="0.25">
      <c r="B3">
        <f>SUM(Dataset_Cleaned!K:K)</f>
        <v>3234064.2799999979</v>
      </c>
      <c r="E3">
        <f>AVERAGE(Dataset_Cleaned!K:K)</f>
        <v>3234.0642799999978</v>
      </c>
      <c r="H3">
        <f>SUM(Dataset_Cleaned!N:N)</f>
        <v>893755.89999999991</v>
      </c>
      <c r="J3" s="4">
        <f>H3/B3</f>
        <v>0.27635687562771649</v>
      </c>
    </row>
    <row r="7" spans="1:10" x14ac:dyDescent="0.25">
      <c r="A7" s="3" t="s">
        <v>498</v>
      </c>
    </row>
    <row r="8" spans="1:10" x14ac:dyDescent="0.25">
      <c r="A8" s="5" t="s">
        <v>499</v>
      </c>
      <c r="B8" t="s">
        <v>501</v>
      </c>
    </row>
    <row r="9" spans="1:10" x14ac:dyDescent="0.25">
      <c r="A9" s="6" t="s">
        <v>365</v>
      </c>
      <c r="B9">
        <v>738223.92000000039</v>
      </c>
    </row>
    <row r="10" spans="1:10" x14ac:dyDescent="0.25">
      <c r="A10" s="6" t="s">
        <v>363</v>
      </c>
      <c r="B10">
        <v>721530.21999999939</v>
      </c>
    </row>
    <row r="11" spans="1:10" x14ac:dyDescent="0.25">
      <c r="A11" s="6" t="s">
        <v>366</v>
      </c>
      <c r="B11">
        <v>919517.37999999919</v>
      </c>
    </row>
    <row r="12" spans="1:10" x14ac:dyDescent="0.25">
      <c r="A12" s="6" t="s">
        <v>364</v>
      </c>
      <c r="B12">
        <v>854792.76000000036</v>
      </c>
    </row>
    <row r="13" spans="1:10" x14ac:dyDescent="0.25">
      <c r="A13" s="6" t="s">
        <v>500</v>
      </c>
      <c r="B13">
        <v>3234064.2799999989</v>
      </c>
    </row>
    <row r="15" spans="1:10" x14ac:dyDescent="0.25">
      <c r="A15" s="7" t="s">
        <v>502</v>
      </c>
    </row>
    <row r="16" spans="1:10" x14ac:dyDescent="0.25">
      <c r="A16" s="5" t="s">
        <v>499</v>
      </c>
      <c r="B16" t="s">
        <v>503</v>
      </c>
    </row>
    <row r="17" spans="1:2" x14ac:dyDescent="0.25">
      <c r="A17" s="6" t="s">
        <v>368</v>
      </c>
      <c r="B17" s="8">
        <v>0.25909470359859998</v>
      </c>
    </row>
    <row r="18" spans="1:2" x14ac:dyDescent="0.25">
      <c r="A18" s="6" t="s">
        <v>370</v>
      </c>
      <c r="B18" s="8">
        <v>0.24775050995467562</v>
      </c>
    </row>
    <row r="19" spans="1:2" x14ac:dyDescent="0.25">
      <c r="A19" s="6" t="s">
        <v>369</v>
      </c>
      <c r="B19" s="8">
        <v>0.23499103054872136</v>
      </c>
    </row>
    <row r="20" spans="1:2" x14ac:dyDescent="0.25">
      <c r="A20" s="6" t="s">
        <v>367</v>
      </c>
      <c r="B20" s="8">
        <v>0.258163755898003</v>
      </c>
    </row>
    <row r="21" spans="1:2" x14ac:dyDescent="0.25">
      <c r="A21" s="6" t="s">
        <v>500</v>
      </c>
      <c r="B21" s="8">
        <v>1</v>
      </c>
    </row>
    <row r="23" spans="1:2" x14ac:dyDescent="0.25">
      <c r="A23" s="7" t="s">
        <v>504</v>
      </c>
    </row>
    <row r="24" spans="1:2" x14ac:dyDescent="0.25">
      <c r="A24" s="5" t="s">
        <v>499</v>
      </c>
      <c r="B24" t="s">
        <v>501</v>
      </c>
    </row>
    <row r="25" spans="1:2" x14ac:dyDescent="0.25">
      <c r="A25" s="6" t="s">
        <v>505</v>
      </c>
      <c r="B25">
        <v>271442.18</v>
      </c>
    </row>
    <row r="26" spans="1:2" x14ac:dyDescent="0.25">
      <c r="A26" s="6" t="s">
        <v>506</v>
      </c>
      <c r="B26">
        <v>245238.7000000001</v>
      </c>
    </row>
    <row r="27" spans="1:2" x14ac:dyDescent="0.25">
      <c r="A27" s="6" t="s">
        <v>507</v>
      </c>
      <c r="B27">
        <v>316186.57</v>
      </c>
    </row>
    <row r="28" spans="1:2" x14ac:dyDescent="0.25">
      <c r="A28" s="6" t="s">
        <v>508</v>
      </c>
      <c r="B28">
        <v>202221.27999999994</v>
      </c>
    </row>
    <row r="29" spans="1:2" x14ac:dyDescent="0.25">
      <c r="A29" s="6" t="s">
        <v>509</v>
      </c>
      <c r="B29">
        <v>264537.8000000001</v>
      </c>
    </row>
    <row r="30" spans="1:2" x14ac:dyDescent="0.25">
      <c r="A30" s="6" t="s">
        <v>510</v>
      </c>
      <c r="B30">
        <v>267683.96000000008</v>
      </c>
    </row>
    <row r="31" spans="1:2" x14ac:dyDescent="0.25">
      <c r="A31" s="6" t="s">
        <v>511</v>
      </c>
      <c r="B31">
        <v>304897.17000000016</v>
      </c>
    </row>
    <row r="32" spans="1:2" x14ac:dyDescent="0.25">
      <c r="A32" s="6" t="s">
        <v>512</v>
      </c>
      <c r="B32">
        <v>323980.09000000008</v>
      </c>
    </row>
    <row r="33" spans="1:3" x14ac:dyDescent="0.25">
      <c r="A33" s="6" t="s">
        <v>513</v>
      </c>
      <c r="B33">
        <v>203063.4</v>
      </c>
    </row>
    <row r="34" spans="1:3" x14ac:dyDescent="0.25">
      <c r="A34" s="6" t="s">
        <v>514</v>
      </c>
      <c r="B34">
        <v>276844.00999999995</v>
      </c>
    </row>
    <row r="35" spans="1:3" x14ac:dyDescent="0.25">
      <c r="A35" s="6" t="s">
        <v>515</v>
      </c>
      <c r="B35">
        <v>259783.36000000004</v>
      </c>
    </row>
    <row r="36" spans="1:3" x14ac:dyDescent="0.25">
      <c r="A36" s="6" t="s">
        <v>516</v>
      </c>
      <c r="B36">
        <v>298185.75999999995</v>
      </c>
    </row>
    <row r="37" spans="1:3" x14ac:dyDescent="0.25">
      <c r="A37" s="6" t="s">
        <v>500</v>
      </c>
      <c r="B37">
        <v>3234064.28</v>
      </c>
    </row>
    <row r="39" spans="1:3" x14ac:dyDescent="0.25">
      <c r="A39" s="7" t="s">
        <v>517</v>
      </c>
    </row>
    <row r="40" spans="1:3" x14ac:dyDescent="0.25">
      <c r="A40" s="5" t="s">
        <v>499</v>
      </c>
      <c r="B40" t="s">
        <v>501</v>
      </c>
      <c r="C40" t="s">
        <v>503</v>
      </c>
    </row>
    <row r="41" spans="1:3" x14ac:dyDescent="0.25">
      <c r="A41" s="6" t="s">
        <v>472</v>
      </c>
      <c r="B41">
        <v>119425.2</v>
      </c>
      <c r="C41">
        <v>33481</v>
      </c>
    </row>
    <row r="42" spans="1:3" x14ac:dyDescent="0.25">
      <c r="A42" s="6" t="s">
        <v>482</v>
      </c>
      <c r="B42">
        <v>172363.71000000002</v>
      </c>
      <c r="C42">
        <v>48550.859999999993</v>
      </c>
    </row>
    <row r="43" spans="1:3" x14ac:dyDescent="0.25">
      <c r="A43" s="6" t="s">
        <v>487</v>
      </c>
      <c r="B43">
        <v>152423.44</v>
      </c>
      <c r="C43">
        <v>43274.560000000005</v>
      </c>
    </row>
    <row r="44" spans="1:3" x14ac:dyDescent="0.25">
      <c r="A44" s="6" t="s">
        <v>475</v>
      </c>
      <c r="B44">
        <v>191546.1700000001</v>
      </c>
      <c r="C44">
        <v>51888.280000000013</v>
      </c>
    </row>
    <row r="45" spans="1:3" x14ac:dyDescent="0.25">
      <c r="A45" s="6" t="s">
        <v>484</v>
      </c>
      <c r="B45">
        <v>189869.94</v>
      </c>
      <c r="C45">
        <v>52016.84</v>
      </c>
    </row>
    <row r="46" spans="1:3" x14ac:dyDescent="0.25">
      <c r="A46" s="6" t="s">
        <v>481</v>
      </c>
      <c r="B46">
        <v>160270.71000000002</v>
      </c>
      <c r="C46">
        <v>42208.3</v>
      </c>
    </row>
    <row r="47" spans="1:3" x14ac:dyDescent="0.25">
      <c r="A47" s="6" t="s">
        <v>473</v>
      </c>
      <c r="B47">
        <v>151644.22000000003</v>
      </c>
      <c r="C47">
        <v>44418.329999999987</v>
      </c>
    </row>
    <row r="48" spans="1:3" x14ac:dyDescent="0.25">
      <c r="A48" s="6" t="s">
        <v>483</v>
      </c>
      <c r="B48">
        <v>200638.76999999996</v>
      </c>
      <c r="C48">
        <v>53261.419999999991</v>
      </c>
    </row>
    <row r="49" spans="1:3" x14ac:dyDescent="0.25">
      <c r="A49" s="6" t="s">
        <v>490</v>
      </c>
      <c r="B49">
        <v>149401.71999999997</v>
      </c>
      <c r="C49">
        <v>39531.780000000006</v>
      </c>
    </row>
    <row r="50" spans="1:3" x14ac:dyDescent="0.25">
      <c r="A50" s="6" t="s">
        <v>476</v>
      </c>
      <c r="B50">
        <v>175371.91999999998</v>
      </c>
      <c r="C50">
        <v>49478.299999999996</v>
      </c>
    </row>
    <row r="51" spans="1:3" x14ac:dyDescent="0.25">
      <c r="A51" s="6" t="s">
        <v>479</v>
      </c>
      <c r="B51">
        <v>144188.4</v>
      </c>
      <c r="C51">
        <v>40496.759999999995</v>
      </c>
    </row>
    <row r="52" spans="1:3" x14ac:dyDescent="0.25">
      <c r="A52" s="6" t="s">
        <v>478</v>
      </c>
      <c r="B52">
        <v>168763.93999999997</v>
      </c>
      <c r="C52">
        <v>46598.959999999992</v>
      </c>
    </row>
    <row r="53" spans="1:3" x14ac:dyDescent="0.25">
      <c r="A53" s="6" t="s">
        <v>489</v>
      </c>
      <c r="B53">
        <v>164953.81</v>
      </c>
      <c r="C53">
        <v>47926.899999999994</v>
      </c>
    </row>
    <row r="54" spans="1:3" x14ac:dyDescent="0.25">
      <c r="A54" s="6" t="s">
        <v>486</v>
      </c>
      <c r="B54">
        <v>196728.50000000006</v>
      </c>
      <c r="C54">
        <v>53669.429999999993</v>
      </c>
    </row>
    <row r="55" spans="1:3" x14ac:dyDescent="0.25">
      <c r="A55" s="6" t="s">
        <v>488</v>
      </c>
      <c r="B55">
        <v>140755.5</v>
      </c>
      <c r="C55">
        <v>39232.920000000006</v>
      </c>
    </row>
    <row r="56" spans="1:3" x14ac:dyDescent="0.25">
      <c r="A56" s="6" t="s">
        <v>474</v>
      </c>
      <c r="B56">
        <v>133525.02999999997</v>
      </c>
      <c r="C56">
        <v>36060.89</v>
      </c>
    </row>
    <row r="57" spans="1:3" x14ac:dyDescent="0.25">
      <c r="A57" s="6" t="s">
        <v>480</v>
      </c>
      <c r="B57">
        <v>153675.99000000002</v>
      </c>
      <c r="C57">
        <v>41774.6</v>
      </c>
    </row>
    <row r="58" spans="1:3" x14ac:dyDescent="0.25">
      <c r="A58" s="6" t="s">
        <v>485</v>
      </c>
      <c r="B58">
        <v>166619.27000000002</v>
      </c>
      <c r="C58">
        <v>47911.049999999996</v>
      </c>
    </row>
    <row r="59" spans="1:3" x14ac:dyDescent="0.25">
      <c r="A59" s="6" t="s">
        <v>477</v>
      </c>
      <c r="B59">
        <v>151504.12000000002</v>
      </c>
      <c r="C59">
        <v>41027.030000000006</v>
      </c>
    </row>
    <row r="60" spans="1:3" x14ac:dyDescent="0.25">
      <c r="A60" s="6" t="s">
        <v>471</v>
      </c>
      <c r="B60">
        <v>150393.92000000004</v>
      </c>
      <c r="C60">
        <v>40947.69</v>
      </c>
    </row>
    <row r="61" spans="1:3" x14ac:dyDescent="0.25">
      <c r="A61" s="6" t="s">
        <v>500</v>
      </c>
      <c r="B61">
        <v>3234064.28</v>
      </c>
      <c r="C61">
        <v>893755.90000000014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Raw_Dataset</vt:lpstr>
      <vt:lpstr>Dataset_Cleaned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cynthiaonuoha.cs@gmail.com</cp:lastModifiedBy>
  <dcterms:created xsi:type="dcterms:W3CDTF">2026-04-10T11:23:07Z</dcterms:created>
  <dcterms:modified xsi:type="dcterms:W3CDTF">2026-06-26T17:25:44Z</dcterms:modified>
</cp:coreProperties>
</file>